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4"/>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E3" i="29" a="1"/>
  <c r="F4" i="9"/>
  <c r="F5" i="9"/>
  <c r="E3" i="29" l="1"/>
  <c r="E4" i="29"/>
  <c r="E5" i="29"/>
  <c r="E6" i="29"/>
  <c r="E7" i="29"/>
  <c r="A3" i="5"/>
  <c r="A4" i="5"/>
  <c r="G4" i="29" l="1"/>
  <c r="G5" i="29"/>
  <c r="G6" i="29"/>
  <c r="G7" i="29"/>
  <c r="G3" i="29"/>
  <c r="F4" i="29"/>
  <c r="F7" i="29"/>
  <c r="F3" i="29"/>
  <c r="F6" i="29"/>
  <c r="F5" i="29"/>
  <c r="H5" i="29" l="1"/>
  <c r="H3" i="29"/>
  <c r="H7" i="29"/>
  <c r="H4" i="29"/>
  <c r="H6" i="29"/>
  <c r="J5" i="29"/>
  <c r="J3" i="29"/>
  <c r="J7" i="29"/>
  <c r="J4" i="29"/>
  <c r="J6" i="29"/>
  <c r="K7" i="29"/>
  <c r="K6" i="29"/>
  <c r="A14" i="5" l="1"/>
  <c r="A18" i="5"/>
  <c r="A17" i="5"/>
  <c r="A15" i="5"/>
  <c r="A16" i="5"/>
  <c r="G14" i="5"/>
  <c r="H15" i="5"/>
  <c r="H16" i="5"/>
  <c r="G18" i="5"/>
  <c r="E42" i="25"/>
  <c r="H17" i="5"/>
  <c r="H14" i="5"/>
  <c r="G15" i="5"/>
  <c r="G16" i="5"/>
  <c r="G17" i="5"/>
  <c r="H18" i="5"/>
  <c r="D2" i="27"/>
  <c r="C16" i="5"/>
  <c r="B16" i="5"/>
  <c r="B17" i="5"/>
  <c r="C18" i="5"/>
  <c r="C14" i="5"/>
  <c r="B18" i="5"/>
  <c r="C17" i="5"/>
  <c r="B15" i="5"/>
  <c r="B14" i="5"/>
  <c r="C15" i="5"/>
  <c r="K4" i="29"/>
  <c r="K3" i="29"/>
  <c r="K5" i="29"/>
  <c r="D7" i="27" l="1"/>
  <c r="G7" i="27" s="1"/>
  <c r="D8" i="27"/>
  <c r="G8" i="27" s="1"/>
  <c r="D9" i="27"/>
  <c r="G9" i="27" s="1"/>
  <c r="D10" i="27"/>
  <c r="G10" i="27" s="1"/>
  <c r="D11" i="27"/>
  <c r="G11" i="27" s="1"/>
  <c r="D12" i="27"/>
  <c r="G12" i="27" s="1"/>
  <c r="D13" i="27"/>
  <c r="G13" i="27" s="1"/>
  <c r="D14" i="27"/>
  <c r="G14" i="27" s="1"/>
  <c r="D15" i="27"/>
  <c r="G15" i="27" s="1"/>
  <c r="D16" i="27"/>
  <c r="G16" i="27" s="1"/>
  <c r="D17" i="27"/>
  <c r="G17" i="27" s="1"/>
  <c r="D18" i="27"/>
  <c r="G18" i="27" s="1"/>
  <c r="D6" i="27"/>
  <c r="G6" i="27" s="1"/>
  <c r="C42" i="25"/>
  <c r="Y11" i="26"/>
  <c r="Z11" i="26"/>
  <c r="D3" i="27"/>
  <c r="E6" i="27"/>
  <c r="E11" i="27"/>
  <c r="E9" i="27"/>
  <c r="E14" i="27"/>
  <c r="E12" i="27"/>
  <c r="E10" i="27"/>
  <c r="E17" i="27"/>
  <c r="E15" i="27"/>
  <c r="E16" i="27"/>
  <c r="E7" i="27"/>
  <c r="E18" i="27"/>
  <c r="E8" i="27"/>
  <c r="C18" i="27"/>
  <c r="E13" i="27"/>
  <c r="F4" i="26" l="1"/>
  <c r="F5" i="26"/>
  <c r="F6" i="26"/>
  <c r="F7" i="26"/>
  <c r="F8" i="26"/>
  <c r="F9" i="26"/>
  <c r="F3" i="26"/>
  <c r="C6" i="27"/>
  <c r="C7" i="27"/>
  <c r="F42" i="25" l="1"/>
  <c r="C8" i="27"/>
  <c r="C6" i="26"/>
  <c r="C4" i="26"/>
  <c r="C5" i="26"/>
  <c r="C3" i="26"/>
  <c r="C7" i="26" l="1"/>
  <c r="C9" i="27"/>
  <c r="G3" i="25"/>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0" i="27"/>
  <c r="B7" i="26"/>
  <c r="B3" i="26"/>
  <c r="B5" i="26"/>
  <c r="B6" i="26"/>
  <c r="B4" i="26"/>
  <c r="B8" i="26"/>
  <c r="B9" i="26"/>
  <c r="E39" i="25" l="1"/>
  <c r="F39" i="25" s="1"/>
  <c r="E38" i="25"/>
  <c r="F38" i="25" s="1"/>
  <c r="E37" i="25"/>
  <c r="G39" i="25"/>
  <c r="C11" i="27"/>
  <c r="G38" i="25"/>
  <c r="F37" i="25" l="1"/>
  <c r="G37" i="25"/>
  <c r="C12" i="27"/>
  <c r="J14" i="6" l="1"/>
  <c r="J15" i="6"/>
  <c r="C13" i="27"/>
  <c r="F5" i="25" l="1"/>
  <c r="E6" i="25"/>
  <c r="F6" i="25" s="1"/>
  <c r="G5" i="25"/>
  <c r="C14" i="27"/>
  <c r="G6" i="25"/>
  <c r="E7" i="25" l="1"/>
  <c r="F7" i="25" s="1"/>
  <c r="E8" i="25"/>
  <c r="E9" i="25"/>
  <c r="E10" i="25"/>
  <c r="F10" i="25" s="1"/>
  <c r="E11" i="25"/>
  <c r="E12" i="25"/>
  <c r="F12" i="25" s="1"/>
  <c r="E13" i="25"/>
  <c r="E14" i="25"/>
  <c r="E15" i="25"/>
  <c r="E16" i="25"/>
  <c r="F16" i="25" s="1"/>
  <c r="E17" i="25"/>
  <c r="E18" i="25"/>
  <c r="F18" i="25" s="1"/>
  <c r="E19" i="25"/>
  <c r="E20" i="25"/>
  <c r="E21" i="25"/>
  <c r="F21" i="25" s="1"/>
  <c r="G12" i="25"/>
  <c r="G21" i="25"/>
  <c r="G7" i="25"/>
  <c r="G18" i="25"/>
  <c r="G16" i="25"/>
  <c r="G10" i="25"/>
  <c r="C15" i="27"/>
  <c r="H3"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C16" i="27"/>
  <c r="G8" i="25"/>
  <c r="G15" i="25"/>
  <c r="G19" i="25"/>
  <c r="G30" i="25"/>
  <c r="G9" i="25"/>
  <c r="G11" i="25"/>
  <c r="G36" i="25"/>
  <c r="G13" i="25"/>
  <c r="G26" i="25"/>
  <c r="G24" i="25"/>
  <c r="G34" i="25"/>
  <c r="G28" i="25"/>
  <c r="G20" i="25"/>
  <c r="G32" i="25"/>
  <c r="G14" i="25"/>
  <c r="G17" i="25"/>
  <c r="G22" i="25"/>
  <c r="B26" i="5"/>
  <c r="B21" i="5"/>
  <c r="B24" i="5"/>
  <c r="B52" i="5"/>
  <c r="B30" i="5"/>
  <c r="B35" i="5"/>
  <c r="B32" i="5"/>
  <c r="B19" i="5"/>
  <c r="B20" i="5"/>
  <c r="H39" i="25"/>
  <c r="B51" i="5"/>
  <c r="B53"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33" i="25"/>
  <c r="G23" i="25"/>
  <c r="G40" i="25"/>
  <c r="G27" i="25"/>
  <c r="G29" i="25"/>
  <c r="G35" i="25"/>
  <c r="G31" i="25"/>
  <c r="C17" i="27"/>
  <c r="G25" i="25"/>
  <c r="B48" i="5"/>
  <c r="B31" i="5"/>
  <c r="B50" i="5"/>
  <c r="B46" i="5"/>
  <c r="B29" i="5"/>
  <c r="B23" i="5"/>
  <c r="B28" i="5"/>
  <c r="B25" i="5"/>
  <c r="B33" i="5"/>
  <c r="B40" i="5"/>
  <c r="B34" i="5"/>
  <c r="B42" i="5"/>
  <c r="B36" i="5"/>
  <c r="B44" i="5"/>
  <c r="B38" i="5"/>
  <c r="B22" i="5"/>
  <c r="B27" i="5"/>
  <c r="A54" i="5" l="1"/>
  <c r="A49" i="5"/>
  <c r="A43" i="5"/>
  <c r="A41" i="5"/>
  <c r="A39" i="5"/>
  <c r="A37" i="5"/>
  <c r="A47" i="5"/>
  <c r="A45" i="5"/>
  <c r="G54" i="5"/>
  <c r="H54" i="5"/>
  <c r="H2" i="25"/>
  <c r="H19" i="25"/>
  <c r="B37" i="5"/>
  <c r="H18" i="25"/>
  <c r="H28" i="25"/>
  <c r="H38" i="25"/>
  <c r="B49" i="5"/>
  <c r="B41" i="5"/>
  <c r="H31" i="25"/>
  <c r="H37" i="25"/>
  <c r="H7" i="25"/>
  <c r="H26" i="25"/>
  <c r="H30" i="25"/>
  <c r="H11" i="25"/>
  <c r="C54" i="5"/>
  <c r="H32" i="25"/>
  <c r="H12" i="25"/>
  <c r="H9" i="25"/>
  <c r="H29" i="25"/>
  <c r="H5" i="25"/>
  <c r="H15" i="25"/>
  <c r="H20" i="25"/>
  <c r="H35" i="25"/>
  <c r="H8" i="25"/>
  <c r="H27" i="25"/>
  <c r="H10" i="25"/>
  <c r="H22" i="25"/>
  <c r="H36" i="25"/>
  <c r="H24" i="25"/>
  <c r="H6" i="25"/>
  <c r="B45" i="5"/>
  <c r="H25" i="25"/>
  <c r="B43" i="5"/>
  <c r="B3" i="5"/>
  <c r="H34" i="25"/>
  <c r="H13" i="25"/>
  <c r="H23" i="25"/>
  <c r="B39" i="5"/>
  <c r="H40" i="25"/>
  <c r="H14" i="25"/>
  <c r="H33" i="25"/>
  <c r="B54" i="5"/>
  <c r="H17" i="25"/>
  <c r="H16" i="25"/>
  <c r="B47" i="5"/>
  <c r="H21" i="25"/>
  <c r="E1" i="9" l="1"/>
  <c r="F1" i="9" s="1"/>
  <c r="E3" i="9"/>
  <c r="F3" i="9"/>
  <c r="B4" i="5"/>
  <c r="A2" i="5" l="1"/>
  <c r="F2" i="9"/>
  <c r="C2" i="5"/>
  <c r="B2" i="5"/>
  <c r="B1" i="6"/>
  <c r="D9" i="6" l="1"/>
  <c r="D16" i="6"/>
  <c r="D20" i="6"/>
  <c r="G48" i="5"/>
  <c r="H37" i="5"/>
  <c r="H47" i="5"/>
  <c r="G40" i="5"/>
  <c r="G33" i="5"/>
  <c r="Y12" i="26"/>
  <c r="G34" i="5"/>
  <c r="H20" i="5"/>
  <c r="G52" i="5"/>
  <c r="G53" i="5"/>
  <c r="G20" i="5"/>
  <c r="H40" i="5"/>
  <c r="G43" i="5"/>
  <c r="H48" i="5"/>
  <c r="G49" i="5"/>
  <c r="G28" i="5"/>
  <c r="H42" i="5"/>
  <c r="H51" i="5"/>
  <c r="H25" i="5"/>
  <c r="H23" i="5"/>
  <c r="H4" i="5"/>
  <c r="H35" i="5"/>
  <c r="G29" i="5"/>
  <c r="G41" i="5"/>
  <c r="H33" i="5"/>
  <c r="H22" i="5"/>
  <c r="G47" i="5"/>
  <c r="H26" i="5"/>
  <c r="H36" i="5"/>
  <c r="G36" i="5"/>
  <c r="G32" i="5"/>
  <c r="G27" i="5"/>
  <c r="H49" i="5"/>
  <c r="H29" i="5"/>
  <c r="G46" i="5"/>
  <c r="Z12" i="26"/>
  <c r="G35" i="5"/>
  <c r="G45" i="5"/>
  <c r="H45" i="5"/>
  <c r="H53" i="5"/>
  <c r="G39" i="5"/>
  <c r="H34" i="5"/>
  <c r="G37" i="5"/>
  <c r="G23" i="5"/>
  <c r="H19" i="5"/>
  <c r="H28" i="5"/>
  <c r="G30" i="5"/>
  <c r="H30" i="5"/>
  <c r="H39" i="5"/>
  <c r="G44" i="5"/>
  <c r="H24" i="5"/>
  <c r="G21" i="5"/>
  <c r="G38" i="5"/>
  <c r="G3" i="5"/>
  <c r="H46" i="5"/>
  <c r="H43" i="5"/>
  <c r="G50" i="5"/>
  <c r="G19" i="5"/>
  <c r="H32" i="5"/>
  <c r="H52" i="5"/>
  <c r="H21" i="5"/>
  <c r="G31" i="5"/>
  <c r="H3" i="5"/>
  <c r="G25" i="5"/>
  <c r="H27" i="5"/>
  <c r="G22" i="5"/>
  <c r="G4" i="5"/>
  <c r="H44" i="5"/>
  <c r="G24" i="5"/>
  <c r="G42" i="5"/>
  <c r="H50" i="5"/>
  <c r="G51" i="5"/>
  <c r="H38" i="5"/>
  <c r="G26" i="5"/>
  <c r="H31" i="5"/>
  <c r="H41" i="5"/>
  <c r="G2" i="9"/>
  <c r="C44" i="5"/>
  <c r="C32" i="5"/>
  <c r="C26" i="5"/>
  <c r="C33" i="5"/>
  <c r="C20" i="5"/>
  <c r="C48" i="5"/>
  <c r="C19" i="5"/>
  <c r="C43" i="5"/>
  <c r="G2" i="5"/>
  <c r="C42" i="5"/>
  <c r="C24" i="5"/>
  <c r="C23" i="5"/>
  <c r="C47" i="5"/>
  <c r="C39" i="5"/>
  <c r="H2" i="5"/>
  <c r="C35" i="5"/>
  <c r="C4" i="5"/>
  <c r="C51" i="5"/>
  <c r="C21" i="5"/>
  <c r="C31" i="5"/>
  <c r="C37" i="5"/>
  <c r="C29" i="5"/>
  <c r="C53" i="5"/>
  <c r="C49" i="5"/>
  <c r="C38" i="5"/>
  <c r="C46" i="5"/>
  <c r="C30" i="5"/>
  <c r="G3" i="9"/>
  <c r="C40" i="5"/>
  <c r="C41" i="5"/>
  <c r="C3" i="5"/>
  <c r="C45" i="5"/>
  <c r="C36" i="5"/>
  <c r="C22" i="5"/>
  <c r="C25" i="5"/>
  <c r="C52" i="5"/>
  <c r="C27" i="5"/>
  <c r="C34" i="5"/>
  <c r="C50" i="5"/>
  <c r="C28" i="5"/>
  <c r="M11" i="26" l="1" a="1"/>
  <c r="Y13" i="26"/>
  <c r="Y14" i="26"/>
  <c r="Z13" i="26"/>
  <c r="Z14" i="26"/>
  <c r="Y15" i="26"/>
  <c r="Z15" i="26" s="1"/>
  <c r="Y16" i="26"/>
  <c r="E43" i="25"/>
  <c r="C43" i="25"/>
  <c r="M41" i="26"/>
  <c r="N31" i="26"/>
  <c r="M34" i="26"/>
  <c r="M44" i="26"/>
  <c r="N18" i="26"/>
  <c r="M36" i="26"/>
  <c r="N16" i="26"/>
  <c r="N32" i="26"/>
  <c r="N38" i="26"/>
  <c r="M25" i="26"/>
  <c r="M45" i="26"/>
  <c r="M31" i="26"/>
  <c r="N44" i="26"/>
  <c r="N46" i="26"/>
  <c r="N40" i="26"/>
  <c r="M18" i="26"/>
  <c r="M30" i="26"/>
  <c r="O30" i="26" s="1"/>
  <c r="M23" i="26"/>
  <c r="N26" i="26"/>
  <c r="M21" i="26"/>
  <c r="N11" i="26"/>
  <c r="M13" i="26"/>
  <c r="N27" i="26"/>
  <c r="M16" i="26"/>
  <c r="N45" i="26"/>
  <c r="M29" i="26"/>
  <c r="N25" i="26"/>
  <c r="M12" i="26"/>
  <c r="M11" i="26"/>
  <c r="M43" i="26"/>
  <c r="M39" i="26"/>
  <c r="N20" i="26"/>
  <c r="M33" i="26"/>
  <c r="M19" i="26"/>
  <c r="N42" i="26"/>
  <c r="M17" i="26"/>
  <c r="O12" i="26"/>
  <c r="M35" i="26"/>
  <c r="O35" i="26" s="1"/>
  <c r="N30" i="26"/>
  <c r="M38" i="26"/>
  <c r="M27" i="26"/>
  <c r="M22" i="26"/>
  <c r="M28" i="26"/>
  <c r="M14" i="26"/>
  <c r="N15" i="26"/>
  <c r="M37" i="26"/>
  <c r="O37" i="26" s="1"/>
  <c r="N43" i="26"/>
  <c r="N13" i="26"/>
  <c r="N12" i="26"/>
  <c r="N41" i="26"/>
  <c r="O19" i="26"/>
  <c r="N39" i="26"/>
  <c r="O34" i="26"/>
  <c r="N14" i="26"/>
  <c r="N35" i="26"/>
  <c r="O28" i="26"/>
  <c r="N33" i="26"/>
  <c r="O21" i="26"/>
  <c r="N34" i="26"/>
  <c r="M42" i="26"/>
  <c r="O42" i="26" s="1"/>
  <c r="N19" i="26"/>
  <c r="N22" i="26"/>
  <c r="N29" i="26"/>
  <c r="N36" i="26"/>
  <c r="O18" i="26"/>
  <c r="N37" i="26"/>
  <c r="M46" i="26"/>
  <c r="O17" i="26"/>
  <c r="M26" i="26"/>
  <c r="N23" i="26"/>
  <c r="M15" i="26"/>
  <c r="O15" i="26" s="1"/>
  <c r="N21" i="26"/>
  <c r="N24" i="26"/>
  <c r="O33" i="26"/>
  <c r="O23" i="26"/>
  <c r="N17" i="26"/>
  <c r="O41" i="26"/>
  <c r="M40" i="26"/>
  <c r="N28" i="26"/>
  <c r="M32" i="26"/>
  <c r="M20" i="26"/>
  <c r="O20" i="26" s="1"/>
  <c r="M24" i="26"/>
  <c r="Z16" i="26"/>
  <c r="Y17" i="26"/>
  <c r="E44" i="25"/>
  <c r="C44" i="25" s="1"/>
  <c r="G43" i="25"/>
  <c r="H43" i="25" s="1"/>
  <c r="Z17" i="26"/>
  <c r="G44" i="25"/>
  <c r="H44" i="25" s="1"/>
  <c r="F44" i="25" l="1"/>
  <c r="F43" i="25"/>
  <c r="Q23" i="26"/>
  <c r="Q34" i="26"/>
  <c r="Q40" i="26"/>
  <c r="Q32" i="26"/>
  <c r="Q15" i="26"/>
  <c r="Q45" i="26"/>
  <c r="Q16" i="26"/>
  <c r="Q28" i="26"/>
  <c r="Q33" i="26"/>
  <c r="Q46" i="26"/>
  <c r="Q27" i="26"/>
  <c r="Q18" i="26"/>
  <c r="Q37" i="26"/>
  <c r="Q35" i="26"/>
  <c r="Q41" i="26"/>
  <c r="Q30" i="26"/>
  <c r="Q14" i="26"/>
  <c r="Q12" i="26"/>
  <c r="Q17" i="26"/>
  <c r="Q36" i="26"/>
  <c r="Q13" i="26"/>
  <c r="Q11" i="26"/>
  <c r="Q29" i="26"/>
  <c r="Q43" i="26"/>
  <c r="Q22" i="26"/>
  <c r="Q20" i="26"/>
  <c r="Q44" i="26"/>
  <c r="Q25" i="26"/>
  <c r="Q42" i="26"/>
  <c r="Q26" i="26"/>
  <c r="Q31" i="26"/>
  <c r="Q24" i="26"/>
  <c r="Q21" i="26"/>
  <c r="Q19" i="26"/>
  <c r="Q39" i="26"/>
  <c r="Q38" i="26"/>
  <c r="A6" i="5"/>
  <c r="A7" i="5"/>
  <c r="H6" i="5"/>
  <c r="G7" i="5"/>
  <c r="E45" i="25"/>
  <c r="H7" i="5"/>
  <c r="Y18" i="26"/>
  <c r="G6" i="5"/>
  <c r="O40" i="26"/>
  <c r="O43" i="26"/>
  <c r="O36" i="26"/>
  <c r="C8" i="5"/>
  <c r="B9" i="5"/>
  <c r="O26" i="26"/>
  <c r="O11" i="26"/>
  <c r="O44" i="26"/>
  <c r="B8" i="5"/>
  <c r="C13" i="5"/>
  <c r="B11" i="5"/>
  <c r="C7" i="5"/>
  <c r="O13" i="26"/>
  <c r="O27" i="26"/>
  <c r="C11" i="5"/>
  <c r="O38" i="26"/>
  <c r="O45" i="26"/>
  <c r="B10" i="5"/>
  <c r="O32" i="26"/>
  <c r="O25" i="26"/>
  <c r="C12" i="5"/>
  <c r="O46" i="26"/>
  <c r="O29" i="26"/>
  <c r="C6" i="5"/>
  <c r="C10" i="5"/>
  <c r="O14" i="26"/>
  <c r="O16" i="26"/>
  <c r="O22" i="26"/>
  <c r="C9" i="5"/>
  <c r="O31" i="26"/>
  <c r="O24" i="26"/>
  <c r="B6" i="5"/>
  <c r="B7" i="5"/>
  <c r="O39" i="26"/>
  <c r="B12" i="5"/>
  <c r="B13" i="5"/>
  <c r="C45" i="25"/>
  <c r="Z18" i="26"/>
  <c r="Y19" i="26"/>
  <c r="G45" i="25"/>
  <c r="Z19" i="26"/>
  <c r="Y20" i="26"/>
  <c r="H45" i="25"/>
  <c r="Z20" i="26"/>
  <c r="Y21" i="26"/>
  <c r="Y22" i="26"/>
  <c r="Z21" i="26"/>
  <c r="Y23" i="26"/>
  <c r="Z22" i="26"/>
  <c r="Z23" i="26"/>
  <c r="Y24" i="26"/>
  <c r="Y25" i="26"/>
  <c r="Z24" i="26"/>
  <c r="Z25" i="26"/>
  <c r="Y26" i="26"/>
  <c r="Z26" i="26"/>
  <c r="Y27" i="26"/>
  <c r="Y28" i="26"/>
  <c r="Z27" i="26"/>
  <c r="Z28" i="26"/>
  <c r="Y29" i="26"/>
  <c r="Y30" i="26"/>
  <c r="Z29" i="26"/>
  <c r="Y31" i="26"/>
  <c r="Z30" i="26"/>
  <c r="Y32" i="26"/>
  <c r="Z31" i="26"/>
  <c r="Z32" i="26"/>
  <c r="Y33" i="26"/>
  <c r="Y34" i="26"/>
  <c r="Z33" i="26"/>
  <c r="Y35" i="26"/>
  <c r="Z34" i="26"/>
  <c r="Z35" i="26"/>
  <c r="Y36" i="26"/>
  <c r="Z36" i="26"/>
  <c r="Y37" i="26"/>
  <c r="Y38" i="26"/>
  <c r="Z37" i="26"/>
  <c r="Y39" i="26"/>
  <c r="Z38" i="26"/>
  <c r="Z39" i="26"/>
  <c r="Y40" i="26"/>
  <c r="Y41" i="26"/>
  <c r="Z40" i="26"/>
  <c r="Y42" i="26"/>
  <c r="Z41" i="26"/>
  <c r="Y43" i="26"/>
  <c r="Z42" i="26"/>
  <c r="Z43" i="26"/>
  <c r="Y44" i="26"/>
  <c r="Y45" i="26"/>
  <c r="Z44" i="26"/>
  <c r="Y46" i="26"/>
  <c r="Z45" i="26"/>
  <c r="Y47" i="26"/>
  <c r="Z46" i="26"/>
  <c r="Y48" i="26"/>
  <c r="Z47" i="26"/>
  <c r="Y49" i="26"/>
  <c r="Z48" i="26"/>
  <c r="Z49" i="26"/>
  <c r="Y50" i="26"/>
  <c r="Z50" i="26"/>
  <c r="Y51" i="26"/>
  <c r="Y52" i="26"/>
  <c r="Z51" i="26"/>
  <c r="Y53" i="26"/>
  <c r="Z52" i="26"/>
  <c r="Y54" i="26"/>
  <c r="Z53" i="26"/>
  <c r="Y55" i="26"/>
  <c r="Z54" i="26"/>
  <c r="Z55" i="26"/>
  <c r="Y56" i="26"/>
  <c r="Z56" i="26"/>
  <c r="Y57" i="26"/>
  <c r="Y58" i="26"/>
  <c r="Z57" i="26"/>
  <c r="Y59" i="26"/>
  <c r="Z58" i="26"/>
  <c r="Z59" i="26"/>
  <c r="Y60" i="26"/>
  <c r="Y61" i="26"/>
  <c r="Z60" i="26"/>
  <c r="Z61" i="26"/>
  <c r="Y62" i="26"/>
  <c r="Y63" i="26"/>
  <c r="Z62" i="26"/>
  <c r="Y64" i="26"/>
  <c r="Z63" i="26"/>
  <c r="Y65" i="26"/>
  <c r="Z64" i="26"/>
  <c r="Z65" i="26"/>
  <c r="Y66" i="26"/>
  <c r="Y67" i="26"/>
  <c r="Z66" i="26"/>
  <c r="Z67" i="26"/>
  <c r="Y68" i="26"/>
  <c r="Z68" i="26"/>
  <c r="Y69" i="26"/>
  <c r="Y70" i="26"/>
  <c r="Z69" i="26"/>
  <c r="Y71" i="26"/>
  <c r="Z70" i="26"/>
  <c r="Y72" i="26"/>
  <c r="Z71" i="26"/>
  <c r="Y73" i="26"/>
  <c r="Z72" i="26"/>
  <c r="Z73" i="26"/>
  <c r="Y74" i="26"/>
  <c r="Y75" i="26"/>
  <c r="Z74" i="26"/>
  <c r="Y76" i="26"/>
  <c r="Z75" i="26"/>
  <c r="Y77" i="26"/>
  <c r="Z76" i="26"/>
  <c r="Y78" i="26"/>
  <c r="Z77" i="26"/>
  <c r="Z78" i="26"/>
  <c r="Y79" i="26"/>
  <c r="Y80" i="26"/>
  <c r="Z79" i="26"/>
  <c r="Y81" i="26"/>
  <c r="Z80" i="26"/>
  <c r="Z81" i="26"/>
  <c r="Y82" i="26"/>
  <c r="Y83" i="26"/>
  <c r="Z82" i="26"/>
  <c r="Y84" i="26"/>
  <c r="Z83" i="26"/>
  <c r="Y85" i="26"/>
  <c r="Z84" i="26"/>
  <c r="Y86" i="26"/>
  <c r="Z85" i="26"/>
  <c r="Y87" i="26"/>
  <c r="Z86" i="26"/>
  <c r="Z87" i="26"/>
  <c r="Y88" i="26"/>
  <c r="Z88" i="26"/>
  <c r="Y89" i="26"/>
  <c r="Y90" i="26"/>
  <c r="Z89" i="26"/>
  <c r="Y91" i="26"/>
  <c r="Z90" i="26"/>
  <c r="Y92" i="26"/>
  <c r="Z91" i="26"/>
  <c r="Z92" i="26"/>
  <c r="Y93" i="26"/>
  <c r="Y94" i="26"/>
  <c r="Z93" i="26"/>
  <c r="Y95" i="26"/>
  <c r="Z94" i="26"/>
  <c r="Z95" i="26"/>
  <c r="Y96" i="26"/>
  <c r="Y97" i="26"/>
  <c r="Z96" i="26"/>
  <c r="Z97" i="26"/>
  <c r="Y98" i="26"/>
  <c r="Y99" i="26"/>
  <c r="Z98" i="26"/>
  <c r="Y100" i="26"/>
  <c r="Z99" i="26"/>
  <c r="Y101" i="26"/>
  <c r="Z100" i="26"/>
  <c r="Z101" i="26"/>
  <c r="Y102" i="26"/>
  <c r="Y103" i="26"/>
  <c r="Z102" i="26"/>
  <c r="Y104" i="26"/>
  <c r="Z103" i="26"/>
  <c r="Y105" i="26"/>
  <c r="Z104" i="26"/>
  <c r="Z105" i="26"/>
  <c r="Y106" i="26"/>
  <c r="Z106" i="26"/>
  <c r="Y107" i="26"/>
  <c r="Y108" i="26"/>
  <c r="Z107" i="26"/>
  <c r="Y109" i="26"/>
  <c r="Z108" i="26"/>
  <c r="Y110" i="26"/>
  <c r="Z109" i="26"/>
  <c r="Y111" i="26"/>
  <c r="Z110" i="26"/>
  <c r="Y112" i="26"/>
  <c r="Z111" i="26"/>
  <c r="Y113" i="26"/>
  <c r="Z112" i="26"/>
  <c r="Z113" i="26"/>
  <c r="Y114" i="26"/>
  <c r="Y115" i="26"/>
  <c r="Z114" i="26"/>
  <c r="Y116" i="26"/>
  <c r="Z115" i="26"/>
  <c r="Y117" i="26"/>
  <c r="Z116" i="26"/>
  <c r="Y118" i="26"/>
  <c r="Z117" i="26"/>
  <c r="Z118" i="26"/>
  <c r="Y119" i="26"/>
  <c r="Y120" i="26"/>
  <c r="Z119" i="26"/>
  <c r="Z120" i="26"/>
  <c r="Y121" i="26"/>
  <c r="Z121" i="26"/>
  <c r="Y122" i="26"/>
  <c r="Z122" i="26"/>
  <c r="Y123" i="26"/>
  <c r="Z123" i="26"/>
  <c r="Y124" i="26"/>
  <c r="Y125" i="26"/>
  <c r="Z124" i="26"/>
  <c r="Y126" i="26"/>
  <c r="Z125" i="26"/>
  <c r="Y127" i="26"/>
  <c r="Z126" i="26"/>
  <c r="Y128" i="26"/>
  <c r="Z127" i="26"/>
  <c r="Y129" i="26"/>
  <c r="Z128" i="26"/>
  <c r="Y130" i="26"/>
  <c r="Z129" i="26"/>
  <c r="Y131" i="26"/>
  <c r="Z130" i="26"/>
  <c r="Z131" i="26"/>
  <c r="Y132" i="26"/>
  <c r="Y133" i="26"/>
  <c r="Z132" i="26"/>
  <c r="Z133" i="26"/>
  <c r="Y134" i="26"/>
  <c r="Y135" i="26"/>
  <c r="Z134" i="26"/>
  <c r="Z135" i="26"/>
  <c r="Y136" i="26"/>
  <c r="Y137" i="26"/>
  <c r="Z136" i="26"/>
  <c r="Y138" i="26"/>
  <c r="Z137" i="26"/>
  <c r="Z138" i="26"/>
  <c r="Y139" i="26"/>
  <c r="Y140" i="26"/>
  <c r="Z139" i="26"/>
  <c r="Z140" i="26"/>
  <c r="Y141" i="26"/>
  <c r="Z141" i="26"/>
  <c r="Y142" i="26"/>
  <c r="Y143" i="26"/>
  <c r="Z142" i="26"/>
  <c r="Z143" i="26"/>
  <c r="Y144" i="26"/>
  <c r="Y145" i="26"/>
  <c r="Z144" i="26"/>
  <c r="Y146" i="26"/>
  <c r="Z145" i="26"/>
  <c r="Z146" i="26"/>
  <c r="Y147" i="26"/>
  <c r="Y148" i="26"/>
  <c r="Z147" i="26"/>
  <c r="Z148" i="26"/>
  <c r="Y149" i="26"/>
  <c r="Z149" i="26"/>
  <c r="Y150" i="26"/>
  <c r="Y151" i="26"/>
  <c r="Z150" i="26"/>
  <c r="Y152" i="26"/>
  <c r="Z151" i="26"/>
  <c r="Z152" i="26"/>
  <c r="Y153" i="26"/>
  <c r="Z153" i="26"/>
  <c r="Y154" i="26"/>
  <c r="Y155" i="26"/>
  <c r="Z154" i="26"/>
  <c r="Y156" i="26"/>
  <c r="Z155" i="26"/>
  <c r="Y157" i="26"/>
  <c r="Z156" i="26"/>
  <c r="Y158" i="26"/>
  <c r="Z157" i="26"/>
  <c r="Z158" i="26"/>
  <c r="Y159" i="26"/>
  <c r="Z159" i="26"/>
  <c r="Y160" i="26"/>
  <c r="Y161" i="26"/>
  <c r="Z160" i="26"/>
  <c r="Z161" i="26"/>
  <c r="Y162" i="26"/>
  <c r="Y163" i="26"/>
  <c r="Z162" i="26"/>
  <c r="Y164" i="26"/>
  <c r="Z163" i="26"/>
  <c r="Y165" i="26"/>
  <c r="Z164" i="26"/>
  <c r="Y166" i="26"/>
  <c r="Z165" i="26"/>
  <c r="Y167" i="26"/>
  <c r="Z166" i="26"/>
  <c r="Z167" i="26"/>
  <c r="Y168" i="26"/>
  <c r="Y169" i="26"/>
  <c r="Z168" i="26"/>
  <c r="Y170" i="26"/>
  <c r="Z169" i="26"/>
  <c r="Z170" i="26"/>
  <c r="Y171" i="26"/>
  <c r="Z171" i="26"/>
  <c r="Y172" i="26"/>
  <c r="Z172" i="26"/>
  <c r="Y173" i="26"/>
  <c r="Z173" i="26"/>
  <c r="Y174" i="26"/>
  <c r="Y175" i="26"/>
  <c r="Z174" i="26"/>
  <c r="Z175" i="26"/>
  <c r="Y176" i="26"/>
  <c r="Z176" i="26"/>
  <c r="Y177" i="26"/>
  <c r="Y178" i="26"/>
  <c r="Z177" i="26"/>
  <c r="Z178" i="26"/>
  <c r="Y179" i="26"/>
  <c r="Y180" i="26"/>
  <c r="Z179" i="26"/>
  <c r="Z180" i="26"/>
  <c r="Y181" i="26"/>
  <c r="Y182" i="26"/>
  <c r="Z181" i="26"/>
  <c r="Y183" i="26"/>
  <c r="Z182" i="26"/>
  <c r="Z183" i="26"/>
  <c r="Y184" i="26"/>
  <c r="Z184" i="26"/>
  <c r="Y185" i="26"/>
  <c r="Z185" i="26"/>
  <c r="Y186" i="26"/>
  <c r="Z186" i="26"/>
  <c r="Y187" i="26"/>
  <c r="Z187" i="26"/>
  <c r="Y188" i="26"/>
  <c r="Z188" i="26"/>
  <c r="Y189" i="26"/>
  <c r="Z189" i="26"/>
  <c r="Y190" i="26"/>
  <c r="Z190" i="26"/>
  <c r="Y191" i="26"/>
  <c r="Z191" i="26"/>
  <c r="Y192" i="26"/>
  <c r="Y193" i="26"/>
  <c r="Z192" i="26"/>
  <c r="Y194" i="26"/>
  <c r="Z193" i="26"/>
  <c r="Y195" i="26"/>
  <c r="Z194" i="26"/>
  <c r="Z195" i="26"/>
  <c r="Y196" i="26"/>
  <c r="Y197" i="26"/>
  <c r="Z196" i="26"/>
  <c r="Z197" i="26"/>
  <c r="Y198" i="26"/>
  <c r="Y199" i="26"/>
  <c r="Z198" i="26"/>
  <c r="Z199" i="26"/>
  <c r="Y200" i="26"/>
  <c r="Z200" i="26"/>
  <c r="Y201" i="26"/>
  <c r="Z201" i="26"/>
  <c r="Y202" i="26"/>
  <c r="Y203" i="26"/>
  <c r="Z202" i="26"/>
  <c r="Z203" i="26"/>
  <c r="Y204" i="26"/>
  <c r="Z204" i="26"/>
  <c r="Y205" i="26"/>
  <c r="Z205" i="26"/>
  <c r="Y206" i="26"/>
  <c r="Y207" i="26"/>
  <c r="Z206" i="26"/>
  <c r="Y208" i="26"/>
  <c r="Z207" i="26"/>
  <c r="Z208" i="26"/>
  <c r="Y209" i="26"/>
  <c r="Z209" i="26"/>
  <c r="Y210" i="26"/>
  <c r="Y211" i="26"/>
  <c r="Z210" i="26"/>
  <c r="Y212" i="26"/>
  <c r="Z211" i="26"/>
  <c r="Z212" i="26"/>
  <c r="Y213" i="26"/>
  <c r="Y214" i="26"/>
  <c r="Z213" i="26"/>
  <c r="Y215" i="26"/>
  <c r="Z214" i="26"/>
  <c r="Y216" i="26"/>
  <c r="Z215" i="26"/>
  <c r="Y217" i="26"/>
  <c r="Z216" i="26"/>
  <c r="Z217" i="26"/>
  <c r="Y218" i="26"/>
  <c r="Z218" i="26"/>
  <c r="Y219" i="26"/>
  <c r="Z219" i="26"/>
  <c r="Y220" i="26"/>
  <c r="Y221" i="26"/>
  <c r="Z220" i="26"/>
  <c r="Z221" i="26"/>
  <c r="Y222" i="26"/>
  <c r="Y223" i="26"/>
  <c r="Z222" i="26"/>
  <c r="Z223" i="26"/>
  <c r="Y224" i="26"/>
  <c r="Y225" i="26"/>
  <c r="Z224" i="26"/>
  <c r="Z225" i="26"/>
  <c r="Y226" i="26"/>
  <c r="Y227" i="26"/>
  <c r="Z226" i="26"/>
  <c r="Y228" i="26"/>
  <c r="Z227" i="26"/>
  <c r="Y229" i="26"/>
  <c r="Z228" i="26"/>
  <c r="Z229" i="26"/>
  <c r="Y230" i="26"/>
  <c r="Y231" i="26"/>
  <c r="Z230" i="26"/>
  <c r="Y232" i="26"/>
  <c r="Z231" i="26"/>
  <c r="Z232" i="26"/>
  <c r="Y233" i="26"/>
  <c r="Y234" i="26"/>
  <c r="Z233" i="26"/>
  <c r="Y235" i="26"/>
  <c r="Z234" i="26"/>
  <c r="Y236" i="26"/>
  <c r="Z235" i="26"/>
  <c r="Y237" i="26"/>
  <c r="Z236" i="26"/>
  <c r="Z237" i="26"/>
  <c r="Y238" i="26"/>
  <c r="Z238" i="26"/>
  <c r="Y239" i="26"/>
  <c r="Y240" i="26"/>
  <c r="Z239" i="26"/>
  <c r="Z240" i="26"/>
  <c r="Y241" i="26"/>
  <c r="Z241" i="26"/>
  <c r="Y242" i="26"/>
  <c r="Y243" i="26"/>
  <c r="Z242" i="26"/>
  <c r="Z243" i="26"/>
  <c r="Y244" i="26"/>
  <c r="Y245" i="26"/>
  <c r="Z244" i="26"/>
  <c r="Z245" i="26"/>
  <c r="Y246" i="26"/>
  <c r="Z246" i="26"/>
  <c r="Y247" i="26"/>
  <c r="Z247" i="26"/>
  <c r="Y248" i="26"/>
  <c r="Z248" i="26"/>
  <c r="Y249" i="26"/>
  <c r="Y250" i="26"/>
  <c r="Z249" i="26"/>
  <c r="Y251" i="26"/>
  <c r="Z250" i="26"/>
  <c r="Z251" i="26"/>
  <c r="Y252" i="26"/>
  <c r="Z252" i="26"/>
  <c r="Y253" i="26"/>
  <c r="Y254" i="26"/>
  <c r="Z253" i="26"/>
  <c r="Y255" i="26"/>
  <c r="Z254" i="26"/>
  <c r="Z255" i="26"/>
  <c r="Y256" i="26"/>
  <c r="Z256" i="26"/>
  <c r="Y257" i="26"/>
  <c r="Z257" i="26"/>
  <c r="Y258" i="26"/>
  <c r="Z258" i="26"/>
  <c r="Y259" i="26"/>
  <c r="Y260" i="26"/>
  <c r="Z259" i="26"/>
  <c r="Z260" i="26"/>
  <c r="Y261" i="26"/>
  <c r="Y262" i="26"/>
  <c r="Z261" i="26"/>
  <c r="Y263" i="26"/>
  <c r="Z262" i="26"/>
  <c r="Y264" i="26"/>
  <c r="Z263" i="26"/>
  <c r="Y265" i="26"/>
  <c r="Z264" i="26"/>
  <c r="Y266" i="26"/>
  <c r="Z265" i="26"/>
  <c r="Z266" i="26"/>
  <c r="Y267" i="26"/>
  <c r="Z267" i="26"/>
  <c r="Y268" i="26"/>
  <c r="Y269" i="26"/>
  <c r="Z268" i="26"/>
  <c r="Z269" i="26"/>
  <c r="Y270" i="26"/>
  <c r="Z270" i="26"/>
  <c r="Y271" i="26"/>
  <c r="Z271" i="26"/>
  <c r="Y272" i="26"/>
  <c r="Z272" i="26"/>
  <c r="Y273" i="26"/>
  <c r="Z273" i="26"/>
  <c r="Y274" i="26"/>
  <c r="Y275" i="26"/>
  <c r="Z274" i="26"/>
  <c r="Y276" i="26"/>
  <c r="Z275" i="26"/>
  <c r="Z276" i="26"/>
  <c r="Y277" i="26"/>
  <c r="Z277" i="26"/>
  <c r="Y278" i="26"/>
  <c r="Y279" i="26"/>
  <c r="Z278" i="26"/>
  <c r="Z279" i="26"/>
  <c r="Y280" i="26"/>
  <c r="Z280" i="26"/>
  <c r="Y281" i="26"/>
  <c r="Y282" i="26"/>
  <c r="Z281" i="26"/>
  <c r="Y283" i="26"/>
  <c r="Z282" i="26"/>
  <c r="Z283" i="26"/>
  <c r="Y284" i="26"/>
  <c r="Z284" i="26"/>
  <c r="Y285" i="26"/>
  <c r="Z285" i="26"/>
  <c r="Y286" i="26"/>
  <c r="Z286" i="26"/>
  <c r="Y287" i="26"/>
  <c r="Y288" i="26"/>
  <c r="Z287" i="26"/>
  <c r="Z288" i="26"/>
  <c r="Y289" i="26"/>
  <c r="Z289" i="26"/>
  <c r="Y290" i="26"/>
  <c r="Y291" i="26"/>
  <c r="Z290" i="26"/>
  <c r="Z291" i="26"/>
  <c r="Y292" i="26"/>
  <c r="Z292" i="26"/>
  <c r="Y293" i="26"/>
  <c r="Y294" i="26"/>
  <c r="Z293" i="26"/>
  <c r="Y295" i="26"/>
  <c r="Z294" i="26"/>
  <c r="Y296" i="26"/>
  <c r="Z295" i="26"/>
  <c r="Y297" i="26"/>
  <c r="Z296" i="26"/>
  <c r="Z297" i="26"/>
  <c r="Y298" i="26"/>
  <c r="Z298" i="26"/>
  <c r="Y299" i="26"/>
  <c r="Y300" i="26"/>
  <c r="Z299" i="26"/>
  <c r="Z300" i="26"/>
  <c r="Y301" i="26"/>
  <c r="Z301" i="26"/>
  <c r="Y302" i="26"/>
  <c r="Z302" i="26"/>
  <c r="Y303" i="26"/>
  <c r="Z303" i="26"/>
  <c r="Y304" i="26"/>
  <c r="Y305" i="26"/>
  <c r="Z304" i="26"/>
  <c r="Z305" i="26"/>
  <c r="Y306" i="26"/>
  <c r="Y307" i="26"/>
  <c r="Z306" i="26"/>
  <c r="Y308" i="26"/>
  <c r="Z307" i="26"/>
  <c r="Y309" i="26"/>
  <c r="Z308" i="26"/>
  <c r="Z309" i="26"/>
  <c r="Y310" i="26"/>
  <c r="Y311" i="26"/>
  <c r="Z310" i="26"/>
  <c r="Y312" i="26"/>
  <c r="Z311" i="26"/>
  <c r="Z312" i="26"/>
  <c r="Y313" i="26"/>
  <c r="Z313" i="26"/>
  <c r="Y314" i="26"/>
  <c r="Z314" i="26"/>
  <c r="Y315" i="26"/>
  <c r="Y316" i="26"/>
  <c r="Z315" i="26"/>
  <c r="Y317" i="26"/>
  <c r="Z316" i="26"/>
  <c r="Z317" i="26"/>
  <c r="Y318" i="26"/>
  <c r="Y319" i="26"/>
  <c r="Z318" i="26"/>
  <c r="Y320" i="26"/>
  <c r="Z319" i="26"/>
  <c r="Z320" i="26"/>
  <c r="Y321" i="26"/>
  <c r="Z321" i="26"/>
  <c r="Y322" i="26"/>
  <c r="Z322" i="26"/>
  <c r="Y323" i="26"/>
  <c r="Y324" i="26"/>
  <c r="Z323" i="26"/>
  <c r="Y325" i="26"/>
  <c r="Z324" i="26"/>
  <c r="Z325" i="26"/>
  <c r="Y326" i="26"/>
  <c r="Z326" i="26"/>
  <c r="Y327" i="26"/>
  <c r="Z327" i="26"/>
  <c r="Y328" i="26"/>
  <c r="Y329" i="26"/>
  <c r="Z328" i="26"/>
  <c r="Y330" i="26"/>
  <c r="Z329" i="26"/>
  <c r="Z330" i="26"/>
  <c r="Y331" i="26"/>
  <c r="Y332" i="26"/>
  <c r="Z331" i="26"/>
  <c r="Z332" i="26"/>
  <c r="Y333" i="26"/>
  <c r="Z333" i="26"/>
  <c r="Y334" i="26"/>
  <c r="Y335" i="26"/>
  <c r="Z334" i="26"/>
  <c r="Y336" i="26"/>
  <c r="Z335" i="26"/>
  <c r="Y337" i="26"/>
  <c r="Z336" i="26"/>
  <c r="Z337" i="26"/>
  <c r="Y338" i="26"/>
  <c r="Y339" i="26"/>
  <c r="Z338" i="26"/>
  <c r="Z339" i="26"/>
  <c r="Y340" i="26"/>
  <c r="Z340" i="26"/>
  <c r="Y341" i="26"/>
  <c r="Y342" i="26"/>
  <c r="Z341" i="26"/>
  <c r="Y343" i="26"/>
  <c r="Z342" i="26"/>
  <c r="Z343" i="26"/>
  <c r="Y344" i="26"/>
  <c r="Y345" i="26"/>
  <c r="Z344" i="26"/>
  <c r="Y346" i="26"/>
  <c r="Z345" i="26"/>
  <c r="Z346" i="26"/>
  <c r="Y347" i="26"/>
  <c r="Z347" i="26"/>
  <c r="Y348" i="26"/>
  <c r="Y349" i="26"/>
  <c r="Z348" i="26"/>
  <c r="Z349" i="26"/>
  <c r="Y350" i="26"/>
  <c r="Y351" i="26"/>
  <c r="Z350" i="26"/>
  <c r="Z351" i="26"/>
  <c r="Y352" i="26"/>
  <c r="Z352" i="26"/>
  <c r="Y353" i="26"/>
  <c r="Z353" i="26"/>
  <c r="Y354" i="26"/>
  <c r="Z354" i="26"/>
  <c r="Y355" i="26"/>
  <c r="Y356" i="26"/>
  <c r="Z355" i="26"/>
  <c r="Z356" i="26"/>
  <c r="Y357" i="26"/>
  <c r="Z357" i="26"/>
  <c r="Y358" i="26"/>
  <c r="Y359" i="26"/>
  <c r="Z358" i="26"/>
  <c r="Z359" i="26"/>
  <c r="Y360" i="26"/>
  <c r="Z360" i="26"/>
  <c r="Y361" i="26"/>
  <c r="Y362" i="26"/>
  <c r="Z361" i="26"/>
  <c r="Z362" i="26"/>
  <c r="Y363" i="26"/>
  <c r="Y364" i="26"/>
  <c r="Z363" i="26"/>
  <c r="Y365" i="26"/>
  <c r="Z364" i="26"/>
  <c r="Y366" i="26"/>
  <c r="Z365" i="26"/>
  <c r="Y367" i="26"/>
  <c r="Z366" i="26"/>
  <c r="Z367" i="26"/>
  <c r="Y368" i="26"/>
  <c r="Z368" i="26"/>
  <c r="Y369" i="26"/>
  <c r="Y370" i="26"/>
  <c r="Z369" i="26"/>
  <c r="Y371" i="26"/>
  <c r="Z370" i="26"/>
  <c r="Z371" i="26"/>
  <c r="Y372" i="26"/>
  <c r="Z372" i="26"/>
  <c r="Y373" i="26"/>
  <c r="Z373" i="26"/>
  <c r="Y374" i="26"/>
  <c r="Y375" i="26"/>
  <c r="Z374" i="26"/>
  <c r="Y376" i="26"/>
  <c r="Z375" i="26"/>
  <c r="Y377" i="26"/>
  <c r="Z376" i="26"/>
  <c r="Y378" i="26"/>
  <c r="Z377" i="26"/>
  <c r="Z378" i="26"/>
  <c r="Y379" i="26"/>
  <c r="Y380" i="26"/>
  <c r="Z379" i="26"/>
  <c r="Y381" i="26"/>
  <c r="Z380" i="26"/>
  <c r="Z381" i="26"/>
  <c r="Y382" i="26"/>
  <c r="Y383" i="26"/>
  <c r="Z382" i="26"/>
  <c r="Z383" i="26"/>
  <c r="Y384" i="26"/>
  <c r="Y385" i="26"/>
  <c r="Z384" i="26"/>
  <c r="Z385" i="26"/>
  <c r="Y386" i="26"/>
  <c r="Z386" i="26"/>
  <c r="Y387" i="26"/>
  <c r="Y388" i="26"/>
  <c r="Z387" i="26"/>
  <c r="Z388" i="26"/>
  <c r="Y389" i="26"/>
  <c r="Z389" i="26"/>
  <c r="Y390" i="26"/>
  <c r="Z390" i="26"/>
  <c r="Y391" i="26"/>
  <c r="Z391" i="26"/>
  <c r="Y392" i="26"/>
  <c r="Y393" i="26"/>
  <c r="Z392" i="26"/>
  <c r="Z393" i="26"/>
  <c r="Y394" i="26"/>
  <c r="Y395" i="26"/>
  <c r="Z394" i="26"/>
  <c r="Y396" i="26"/>
  <c r="Z395" i="26"/>
  <c r="Z396" i="26"/>
  <c r="Y397" i="26"/>
  <c r="Z397" i="26"/>
  <c r="Y398" i="26"/>
  <c r="Y399" i="26"/>
  <c r="Z398" i="26"/>
  <c r="Z399" i="26"/>
  <c r="Y400" i="26"/>
  <c r="Y401" i="26"/>
  <c r="Z400" i="26"/>
  <c r="Y402" i="26"/>
  <c r="Z401" i="26"/>
  <c r="Y403" i="26"/>
  <c r="Z402" i="26"/>
  <c r="Y404" i="26"/>
  <c r="Z403" i="26"/>
  <c r="Z404" i="26"/>
  <c r="Y405" i="26"/>
  <c r="Y406" i="26"/>
  <c r="Z405" i="26"/>
  <c r="Z406" i="26"/>
  <c r="Y407" i="26"/>
  <c r="Z407" i="26"/>
  <c r="Y408" i="26"/>
  <c r="Y409" i="26"/>
  <c r="Z408" i="26"/>
  <c r="Y410" i="26"/>
  <c r="Z409" i="26"/>
  <c r="Z410" i="26"/>
  <c r="Y411" i="26"/>
  <c r="Z411" i="26"/>
  <c r="Y412" i="26"/>
  <c r="Y413" i="26"/>
  <c r="Z412" i="26"/>
  <c r="Y414" i="26"/>
  <c r="Z413" i="26"/>
  <c r="Z414" i="26"/>
  <c r="Y415" i="26"/>
  <c r="Y416" i="26"/>
  <c r="Z415" i="26"/>
  <c r="Z416" i="26"/>
  <c r="Y417" i="26"/>
  <c r="Y418" i="26"/>
  <c r="Z417" i="26"/>
  <c r="Z418" i="26"/>
  <c r="Y419" i="26"/>
  <c r="Z419" i="26"/>
  <c r="Y420" i="26"/>
  <c r="Z420" i="26"/>
  <c r="Y421" i="26"/>
  <c r="Z421" i="26"/>
  <c r="Y422" i="26"/>
  <c r="Z422" i="26"/>
  <c r="Y423" i="26"/>
  <c r="Y424" i="26"/>
  <c r="Z423" i="26"/>
  <c r="Z424" i="26"/>
  <c r="Y425" i="26"/>
  <c r="Z425" i="26"/>
  <c r="Y426" i="26"/>
  <c r="Y427" i="26"/>
  <c r="Z426" i="26"/>
  <c r="Y428" i="26"/>
  <c r="Z427" i="26"/>
  <c r="Y429" i="26"/>
  <c r="Z428" i="26"/>
  <c r="Z429" i="26"/>
  <c r="Y430" i="26"/>
  <c r="Z430" i="26"/>
  <c r="Y431" i="26"/>
  <c r="Y432" i="26"/>
  <c r="Z431" i="26"/>
  <c r="Y433" i="26"/>
  <c r="Z432" i="26"/>
  <c r="Z433" i="26"/>
  <c r="Y434" i="26"/>
  <c r="Y435" i="26"/>
  <c r="Z434" i="26"/>
  <c r="Y436" i="26"/>
  <c r="Z435" i="26"/>
  <c r="Z436" i="26"/>
  <c r="Y437" i="26"/>
  <c r="Y438" i="26"/>
  <c r="Z437" i="26"/>
  <c r="Z438" i="26"/>
  <c r="Y439" i="26"/>
  <c r="Y440" i="26"/>
  <c r="Z439" i="26"/>
  <c r="Y441" i="26"/>
  <c r="Z440" i="26"/>
  <c r="Y442" i="26"/>
  <c r="Z441" i="26"/>
  <c r="Y443" i="26"/>
  <c r="Z442" i="26"/>
  <c r="Y444" i="26"/>
  <c r="Z443" i="26"/>
  <c r="Z444" i="26"/>
  <c r="Y445" i="26"/>
  <c r="Y446" i="26"/>
  <c r="Z445" i="26"/>
  <c r="Z446" i="26"/>
  <c r="Y447" i="26"/>
  <c r="Z447" i="26"/>
  <c r="Y448" i="26"/>
  <c r="Y449" i="26"/>
  <c r="Z448" i="26"/>
  <c r="Y450" i="26"/>
  <c r="Z449" i="26"/>
  <c r="Z450" i="26"/>
  <c r="Y451" i="26"/>
  <c r="Y452" i="26"/>
  <c r="Z451" i="26"/>
  <c r="Z452" i="26"/>
  <c r="Y453" i="26"/>
  <c r="Z453" i="26"/>
  <c r="Y454" i="26"/>
  <c r="Z454" i="26"/>
  <c r="Y455" i="26"/>
  <c r="Y456" i="26"/>
  <c r="Z455" i="26"/>
  <c r="Z456" i="26"/>
  <c r="Y457" i="26"/>
  <c r="Z457" i="26"/>
  <c r="Y458" i="26"/>
  <c r="Y459" i="26"/>
  <c r="Z458" i="26"/>
  <c r="Z459" i="26"/>
  <c r="Y460" i="26"/>
  <c r="Z460" i="26"/>
  <c r="Y461" i="26"/>
  <c r="Y462" i="26"/>
  <c r="Z461" i="26"/>
  <c r="Z462" i="26"/>
  <c r="Y463" i="26"/>
  <c r="Y464" i="26"/>
  <c r="Z463" i="26"/>
  <c r="Z464" i="26"/>
  <c r="Y465" i="26"/>
  <c r="Z465" i="26"/>
  <c r="Y466" i="26"/>
  <c r="Y467" i="26"/>
  <c r="Z466" i="26"/>
  <c r="Y468" i="26"/>
  <c r="Z467" i="26"/>
  <c r="Z468" i="26"/>
  <c r="Y469" i="26"/>
  <c r="Y470" i="26"/>
  <c r="Z469" i="26"/>
  <c r="Z470" i="26"/>
  <c r="Y471" i="26"/>
  <c r="Z471" i="26"/>
  <c r="Y472" i="26"/>
  <c r="Y473" i="26"/>
  <c r="Z472" i="26"/>
  <c r="Y474" i="26"/>
  <c r="Z473" i="26"/>
  <c r="Z474" i="26"/>
  <c r="Y475" i="26"/>
  <c r="Y476" i="26"/>
  <c r="Z475" i="26"/>
  <c r="Y477" i="26"/>
  <c r="Z476" i="26"/>
  <c r="Y478" i="26"/>
  <c r="Z477" i="26"/>
  <c r="Z478" i="26"/>
  <c r="Y479" i="26"/>
  <c r="Z479" i="26"/>
  <c r="Y480" i="26"/>
  <c r="Z480" i="26"/>
  <c r="Y481" i="26"/>
  <c r="Y482" i="26"/>
  <c r="Z481" i="26"/>
  <c r="Y483" i="26"/>
  <c r="Z482" i="26"/>
  <c r="Z483" i="26"/>
  <c r="Y484" i="26"/>
  <c r="Y485" i="26"/>
  <c r="Z484" i="26"/>
  <c r="Z485" i="26"/>
  <c r="Y486" i="26"/>
  <c r="Y487" i="26"/>
  <c r="Z486" i="26"/>
  <c r="Z487" i="26"/>
  <c r="Y488" i="26"/>
  <c r="Z488" i="26"/>
  <c r="Y489" i="26"/>
  <c r="Y490" i="26"/>
  <c r="Z489" i="26"/>
  <c r="Z490" i="26"/>
  <c r="Y491" i="26"/>
  <c r="Y492" i="26"/>
  <c r="Z491" i="26"/>
  <c r="Y493" i="26"/>
  <c r="Z492" i="26"/>
  <c r="Z493" i="26"/>
  <c r="Y494" i="26"/>
  <c r="Y495" i="26"/>
  <c r="Z494" i="26"/>
  <c r="Y496" i="26"/>
  <c r="Z495" i="26"/>
  <c r="Z496" i="26"/>
  <c r="Y497" i="26"/>
  <c r="Y498" i="26"/>
  <c r="Z497" i="26"/>
  <c r="Y499" i="26"/>
  <c r="Z498" i="26"/>
  <c r="Z499" i="26"/>
  <c r="Y500" i="26"/>
  <c r="Y501" i="26"/>
  <c r="Z500" i="26"/>
  <c r="Y502" i="26"/>
  <c r="Z501" i="26"/>
  <c r="Y503" i="26"/>
  <c r="Z502" i="26"/>
  <c r="Z503" i="26"/>
  <c r="Y504" i="26"/>
  <c r="Z504" i="26"/>
  <c r="Y505" i="26"/>
  <c r="Y506" i="26"/>
  <c r="Z505" i="26"/>
  <c r="Z506" i="26"/>
  <c r="Y507" i="26"/>
  <c r="Y508" i="26"/>
  <c r="Z507" i="26"/>
  <c r="Y509" i="26"/>
  <c r="Z508" i="26"/>
  <c r="Z509" i="26"/>
  <c r="Y510" i="26"/>
  <c r="Z510" i="26"/>
  <c r="Y511" i="26"/>
  <c r="Z511" i="26"/>
  <c r="Y512" i="26"/>
  <c r="Y513" i="26"/>
  <c r="Z512" i="26"/>
  <c r="Z513" i="26"/>
  <c r="Y514" i="26"/>
  <c r="Y515" i="26"/>
  <c r="Z514" i="26"/>
  <c r="Z515" i="26"/>
  <c r="Y516" i="26"/>
  <c r="Z516" i="26"/>
  <c r="Y517" i="26"/>
  <c r="Z517" i="26"/>
  <c r="Y518" i="26"/>
  <c r="Y519" i="26"/>
  <c r="Z518" i="26"/>
  <c r="Z519" i="26"/>
  <c r="Y520" i="26"/>
  <c r="Z520" i="26"/>
  <c r="Y521" i="26"/>
  <c r="Z521" i="26"/>
  <c r="Y522" i="26"/>
  <c r="Z522" i="26"/>
  <c r="Y523" i="26"/>
  <c r="Y524" i="26"/>
  <c r="Z523" i="26"/>
  <c r="Z524" i="26"/>
  <c r="Y525" i="26"/>
  <c r="Z525" i="26"/>
  <c r="Y526" i="26"/>
  <c r="Y527" i="26"/>
  <c r="Z526" i="26"/>
  <c r="Z527" i="26"/>
  <c r="Y528" i="26"/>
  <c r="Z528" i="26"/>
  <c r="Y529" i="26"/>
  <c r="Y530" i="26"/>
  <c r="Z529" i="26"/>
  <c r="Y531" i="26"/>
  <c r="Z530" i="26"/>
  <c r="Z531" i="26"/>
  <c r="Y532" i="26"/>
  <c r="Z532" i="26"/>
  <c r="Y533" i="26"/>
  <c r="Y534" i="26"/>
  <c r="Z533" i="26"/>
  <c r="Z534" i="26"/>
  <c r="Y535" i="26"/>
  <c r="Z535" i="26"/>
  <c r="Y536" i="26"/>
  <c r="Y537" i="26"/>
  <c r="Z536" i="26"/>
  <c r="Z537" i="26"/>
  <c r="Y538" i="26"/>
  <c r="Z538" i="26"/>
  <c r="Y539" i="26"/>
  <c r="Z539" i="26"/>
  <c r="Y540" i="26"/>
  <c r="Z540" i="26"/>
  <c r="Y541" i="26"/>
  <c r="Y542" i="26"/>
  <c r="Z541" i="26"/>
  <c r="Y543" i="26"/>
  <c r="Z542" i="26"/>
  <c r="Z543" i="26"/>
  <c r="Y544" i="26"/>
  <c r="Z544" i="26"/>
  <c r="Y545" i="26"/>
  <c r="Y546" i="26"/>
  <c r="Z545" i="26"/>
  <c r="Y547" i="26"/>
  <c r="Z546" i="26"/>
  <c r="Z547" i="26"/>
  <c r="Y548" i="26"/>
  <c r="Z548" i="26"/>
  <c r="Y549" i="26"/>
  <c r="Z549" i="26"/>
  <c r="Y550" i="26"/>
  <c r="Y551" i="26"/>
  <c r="Z550" i="26"/>
  <c r="Y552" i="26"/>
  <c r="Z551" i="26"/>
  <c r="Z552" i="26"/>
  <c r="Y553" i="26"/>
  <c r="Z553" i="26"/>
  <c r="Y554" i="26"/>
  <c r="Y555" i="26"/>
  <c r="Z554" i="26"/>
  <c r="Z555" i="26"/>
  <c r="Y556" i="26"/>
  <c r="Z556" i="26"/>
  <c r="Y557" i="26"/>
  <c r="Y558" i="26"/>
  <c r="Z557" i="26"/>
  <c r="Z558" i="26"/>
  <c r="Y559" i="26"/>
  <c r="Y560" i="26"/>
  <c r="Z559" i="26"/>
  <c r="Y561" i="26"/>
  <c r="Z560" i="26"/>
  <c r="Z561" i="26"/>
  <c r="Y562" i="26"/>
  <c r="Y563" i="26"/>
  <c r="Z562" i="26"/>
  <c r="Z563" i="26"/>
  <c r="Y564" i="26"/>
  <c r="Y565" i="26"/>
  <c r="Z564" i="26"/>
  <c r="Y566" i="26"/>
  <c r="Z565" i="26"/>
  <c r="Y567" i="26"/>
  <c r="Z566" i="26"/>
  <c r="Z567" i="26"/>
  <c r="Y568" i="26"/>
  <c r="Z568" i="26"/>
  <c r="Y569" i="26"/>
  <c r="Y570" i="26"/>
  <c r="Z569" i="26"/>
  <c r="Z570" i="26"/>
  <c r="Y571" i="26"/>
  <c r="Y572" i="26"/>
  <c r="Z571" i="26"/>
  <c r="Z572" i="26"/>
  <c r="Y573" i="26"/>
  <c r="Z573" i="26"/>
  <c r="Y574" i="26"/>
  <c r="Y575" i="26"/>
  <c r="Z574" i="26"/>
  <c r="Y576" i="26"/>
  <c r="Z575" i="26"/>
  <c r="Z576" i="26"/>
  <c r="Y577" i="26"/>
  <c r="Z577" i="26"/>
  <c r="Y578" i="26"/>
  <c r="Z578" i="26"/>
  <c r="Y579" i="26"/>
  <c r="Y580" i="26"/>
  <c r="Z579" i="26"/>
  <c r="Y581" i="26"/>
  <c r="Z580" i="26"/>
  <c r="Y582" i="26"/>
  <c r="Z581" i="26"/>
  <c r="Y583" i="26"/>
  <c r="Z582" i="26"/>
  <c r="Y584" i="26"/>
  <c r="Z583" i="26"/>
  <c r="Z584" i="26"/>
  <c r="Y585" i="26"/>
  <c r="Z585" i="26"/>
  <c r="Y586" i="26"/>
  <c r="Y587" i="26"/>
  <c r="Z586" i="26"/>
  <c r="Y588" i="26"/>
  <c r="Z587" i="26"/>
  <c r="Z588" i="26"/>
  <c r="Y589" i="26"/>
  <c r="Y590" i="26"/>
  <c r="Z589" i="26"/>
  <c r="Z590" i="26"/>
  <c r="Y591" i="26"/>
  <c r="Z591" i="26"/>
  <c r="Y592" i="26"/>
  <c r="Y593" i="26"/>
  <c r="Z592" i="26"/>
  <c r="Y594" i="26"/>
  <c r="Z593" i="26"/>
  <c r="Z594" i="26"/>
  <c r="Y595" i="26"/>
  <c r="Z595" i="26"/>
  <c r="Y596" i="26"/>
  <c r="Y597" i="26"/>
  <c r="Z596" i="26"/>
  <c r="Z597" i="26"/>
  <c r="Y598" i="26"/>
  <c r="Y599" i="26"/>
  <c r="Z598" i="26"/>
  <c r="Y600" i="26"/>
  <c r="Z599" i="26"/>
  <c r="Y601" i="26"/>
  <c r="Z600" i="26"/>
  <c r="Y602" i="26"/>
  <c r="Z601" i="26"/>
  <c r="Z602" i="26"/>
  <c r="Y603" i="26"/>
  <c r="Y604" i="26"/>
  <c r="Z603" i="26"/>
  <c r="Z604" i="26"/>
  <c r="Y605" i="26"/>
  <c r="Y606" i="26"/>
  <c r="Z605" i="26"/>
  <c r="Z606" i="26"/>
  <c r="Y607" i="26"/>
  <c r="Z607" i="26"/>
  <c r="Y608" i="26"/>
  <c r="Y609" i="26"/>
  <c r="Z608" i="26"/>
  <c r="Z609" i="26"/>
  <c r="Y610" i="26"/>
  <c r="Y611" i="26"/>
  <c r="Z610" i="26"/>
  <c r="Y612" i="26"/>
  <c r="Z611" i="26"/>
  <c r="Y613" i="26"/>
  <c r="Z612" i="26"/>
  <c r="Y614" i="26"/>
  <c r="Z613" i="26"/>
  <c r="Y615" i="26"/>
  <c r="Z614" i="26"/>
  <c r="Y616" i="26"/>
  <c r="Z615" i="26"/>
  <c r="Y617" i="26"/>
  <c r="Z616" i="26"/>
  <c r="Y618" i="26"/>
  <c r="Z617" i="26"/>
  <c r="Z618" i="26"/>
  <c r="Y619" i="26"/>
  <c r="Z619" i="26"/>
  <c r="Y620" i="26"/>
  <c r="Z620" i="26"/>
  <c r="Y621" i="26"/>
  <c r="Z621" i="26"/>
  <c r="Y622" i="26"/>
  <c r="Y623" i="26"/>
  <c r="Z622" i="26"/>
  <c r="Z623" i="26"/>
  <c r="Y624" i="26"/>
  <c r="Z624" i="26"/>
  <c r="Y625" i="26"/>
  <c r="Z625" i="26"/>
  <c r="Y626" i="26"/>
  <c r="Y627" i="26"/>
  <c r="Z626" i="26"/>
  <c r="Z627" i="26"/>
  <c r="Y628" i="26"/>
  <c r="Y629" i="26"/>
  <c r="Z628" i="26"/>
  <c r="Y630" i="26"/>
  <c r="Z629" i="26"/>
  <c r="Y631" i="26"/>
  <c r="Z630" i="26"/>
  <c r="Y632" i="26"/>
  <c r="Z631" i="26"/>
  <c r="Z632" i="26"/>
  <c r="Y633" i="26"/>
  <c r="Y634" i="26"/>
  <c r="Z633" i="26"/>
  <c r="Z634" i="26"/>
  <c r="Y635" i="26"/>
  <c r="Y636" i="26"/>
  <c r="Z635" i="26"/>
  <c r="Y637" i="26"/>
  <c r="Z636" i="26"/>
  <c r="Y638" i="26"/>
  <c r="Z637" i="26"/>
  <c r="Z638" i="26"/>
  <c r="Y639" i="26"/>
  <c r="Z639" i="26"/>
  <c r="Y640" i="26"/>
  <c r="Z640" i="26"/>
  <c r="Y641" i="26"/>
  <c r="Y642" i="26"/>
  <c r="Z641" i="26"/>
  <c r="Z642" i="26"/>
  <c r="Y643" i="26"/>
  <c r="Y644" i="26"/>
  <c r="Z643" i="26"/>
  <c r="Z644" i="26"/>
  <c r="Y645" i="26"/>
  <c r="Z645" i="26"/>
  <c r="Y646" i="26"/>
  <c r="Y647" i="26"/>
  <c r="Z646" i="26"/>
  <c r="Y648" i="26"/>
  <c r="Z647" i="26"/>
  <c r="Z648" i="26"/>
  <c r="Y649" i="26"/>
  <c r="Z649" i="26"/>
  <c r="Y650" i="26"/>
  <c r="Y651" i="26"/>
  <c r="Z650" i="26"/>
  <c r="Z651" i="26"/>
  <c r="Y652" i="26"/>
  <c r="Z652" i="26"/>
  <c r="Y653" i="26"/>
  <c r="Z653" i="26"/>
  <c r="Y654" i="26"/>
  <c r="Z654" i="26"/>
  <c r="Y655" i="26"/>
  <c r="Z655" i="26"/>
  <c r="Y656" i="26"/>
  <c r="Z656" i="26"/>
  <c r="Y657" i="26"/>
  <c r="Z657" i="26"/>
  <c r="Y658" i="26"/>
  <c r="Y659" i="26"/>
  <c r="Z658" i="26"/>
  <c r="Y660" i="26"/>
  <c r="Z659" i="26"/>
  <c r="Y661" i="26"/>
  <c r="Z660" i="26"/>
  <c r="Y662" i="26"/>
  <c r="Z661" i="26"/>
  <c r="Z662" i="26"/>
  <c r="Y663" i="26"/>
  <c r="Z663" i="26"/>
  <c r="Y664" i="26"/>
  <c r="Y665" i="26"/>
  <c r="Z664" i="26"/>
  <c r="Y666" i="26"/>
  <c r="Z665" i="26"/>
  <c r="Y667" i="26"/>
  <c r="Z666" i="26"/>
  <c r="Y668" i="26"/>
  <c r="Z667" i="26"/>
  <c r="Z668" i="26"/>
  <c r="Y669" i="26"/>
  <c r="Y670" i="26"/>
  <c r="Z669" i="26"/>
  <c r="Z670" i="26"/>
  <c r="Y671" i="26"/>
  <c r="Z671" i="26"/>
  <c r="Y672" i="26"/>
  <c r="Z672" i="26"/>
  <c r="Y673" i="26"/>
  <c r="Z673" i="26"/>
  <c r="Y674" i="26"/>
  <c r="Y675" i="26"/>
  <c r="Z674" i="26"/>
  <c r="Y676" i="26"/>
  <c r="Z675" i="26"/>
  <c r="Z676" i="26"/>
  <c r="Y677" i="26"/>
  <c r="Z677" i="26"/>
  <c r="Y678" i="26"/>
  <c r="Z678" i="26"/>
  <c r="Y679" i="26"/>
  <c r="Z679" i="26"/>
  <c r="Y680" i="26"/>
  <c r="Z680" i="26"/>
  <c r="Y681" i="26"/>
  <c r="Y682" i="26"/>
  <c r="Z681" i="26"/>
  <c r="Z682" i="26"/>
  <c r="Y683" i="26"/>
  <c r="Z683" i="26"/>
  <c r="Y684" i="26"/>
  <c r="Y685" i="26"/>
  <c r="Z684" i="26"/>
  <c r="Z685" i="26"/>
  <c r="Y686" i="26"/>
  <c r="Z686" i="26"/>
  <c r="Y687" i="26"/>
  <c r="Y688" i="26"/>
  <c r="Z687" i="26"/>
  <c r="Y689" i="26"/>
  <c r="Z688" i="26"/>
  <c r="Y690" i="26"/>
  <c r="Z689" i="26"/>
  <c r="Y691" i="26"/>
  <c r="Z690" i="26"/>
  <c r="Z691" i="26"/>
  <c r="Y692" i="26"/>
  <c r="Y693" i="26"/>
  <c r="Z692" i="26"/>
  <c r="Y694" i="26"/>
  <c r="Z693" i="26"/>
  <c r="Y695" i="26"/>
  <c r="Z694" i="26"/>
  <c r="Y696" i="26"/>
  <c r="Z695" i="26"/>
  <c r="Z696" i="26"/>
  <c r="Y697" i="26"/>
  <c r="Z697" i="26"/>
  <c r="Y698" i="26"/>
  <c r="Y699" i="26"/>
  <c r="Z698" i="26"/>
  <c r="Y700" i="26"/>
  <c r="Z699" i="26"/>
  <c r="Y701" i="26"/>
  <c r="Z700" i="26"/>
  <c r="Y702" i="26"/>
  <c r="Z701" i="26"/>
  <c r="Z702" i="26"/>
  <c r="Y703" i="26"/>
  <c r="Z703" i="26"/>
  <c r="Y704" i="26"/>
  <c r="Z704" i="26"/>
  <c r="Y705" i="26"/>
  <c r="Y706" i="26"/>
  <c r="Z705" i="26"/>
  <c r="Z706" i="26"/>
  <c r="Y707" i="26"/>
  <c r="Z707" i="26"/>
  <c r="Y708" i="26"/>
  <c r="Z708" i="26"/>
  <c r="Y709" i="26"/>
  <c r="Y710" i="26"/>
  <c r="Z709" i="26"/>
  <c r="Z710" i="26"/>
  <c r="Y711" i="26"/>
  <c r="Z711" i="26"/>
  <c r="Y712" i="26"/>
  <c r="Y713" i="26"/>
  <c r="Z712" i="26"/>
  <c r="Z713" i="26"/>
  <c r="Y714" i="26"/>
  <c r="Z714" i="26"/>
  <c r="Y715" i="26"/>
  <c r="Y716" i="26"/>
  <c r="Z715" i="26"/>
  <c r="Z716" i="26"/>
  <c r="Y717" i="26"/>
  <c r="Y718" i="26"/>
  <c r="Z717" i="26"/>
  <c r="Y719" i="26"/>
  <c r="Z718" i="26"/>
  <c r="Y720" i="26"/>
  <c r="Z719" i="26"/>
  <c r="Y721" i="26"/>
  <c r="Z720" i="26"/>
  <c r="Z721" i="26"/>
  <c r="Y722" i="26"/>
  <c r="Z722" i="26"/>
  <c r="Y723" i="26"/>
  <c r="Y724" i="26"/>
  <c r="Z723" i="26"/>
  <c r="Y725" i="26"/>
  <c r="Z724" i="26"/>
  <c r="Y726" i="26"/>
  <c r="Z725" i="26"/>
  <c r="Z726" i="26"/>
  <c r="Y727" i="26"/>
  <c r="Z727" i="26"/>
  <c r="Y728" i="26"/>
  <c r="Z728" i="26"/>
  <c r="Y729" i="26"/>
  <c r="Z729" i="26"/>
  <c r="Y730" i="26"/>
  <c r="Y731" i="26"/>
  <c r="Z730" i="26"/>
  <c r="Z731" i="26"/>
  <c r="Y732" i="26"/>
  <c r="Z732" i="26"/>
  <c r="Y733" i="26"/>
  <c r="Y734" i="26"/>
  <c r="Z733" i="26"/>
  <c r="Y735" i="26"/>
  <c r="Z734" i="26"/>
  <c r="Y736" i="26"/>
  <c r="Z735" i="26"/>
  <c r="Y737" i="26"/>
  <c r="Z736" i="26"/>
  <c r="Z737" i="26"/>
  <c r="Y738" i="26"/>
  <c r="Y739" i="26"/>
  <c r="Z738" i="26"/>
  <c r="Y740" i="26"/>
  <c r="Z739" i="26"/>
  <c r="Y741" i="26"/>
  <c r="Z740" i="26"/>
  <c r="Z741" i="26"/>
  <c r="Y742" i="26"/>
  <c r="Y743" i="26"/>
  <c r="Z742" i="26"/>
  <c r="Y744" i="26"/>
  <c r="Z743" i="26"/>
  <c r="Y745" i="26"/>
  <c r="Z744" i="26"/>
  <c r="Z745" i="26"/>
  <c r="Y746" i="26"/>
  <c r="Y747" i="26"/>
  <c r="Z746" i="26"/>
  <c r="Y748" i="26"/>
  <c r="Z747" i="26"/>
  <c r="Y749" i="26"/>
  <c r="Z748" i="26"/>
  <c r="Y750" i="26"/>
  <c r="Z749" i="26"/>
  <c r="Y751" i="26"/>
  <c r="Z750" i="26"/>
  <c r="Z751" i="26"/>
  <c r="Y752" i="26"/>
  <c r="Y753" i="26"/>
  <c r="Z752" i="26"/>
  <c r="Y754" i="26"/>
  <c r="Z753" i="26"/>
  <c r="Y755" i="26"/>
  <c r="Z754" i="26"/>
  <c r="Y756" i="26"/>
  <c r="Z755" i="26"/>
  <c r="Y757" i="26"/>
  <c r="Z756" i="26"/>
  <c r="Z757" i="26"/>
  <c r="Y758" i="26"/>
  <c r="Z758" i="26"/>
  <c r="Y759" i="26"/>
  <c r="Z759" i="26"/>
  <c r="Y760" i="26"/>
  <c r="Y761" i="26"/>
  <c r="Z760" i="26"/>
  <c r="Y762" i="26"/>
  <c r="Z761" i="26"/>
  <c r="Z762" i="26"/>
  <c r="Y763" i="26"/>
  <c r="Y764" i="26"/>
  <c r="Z763" i="26"/>
  <c r="Z764" i="26"/>
  <c r="Y765" i="26"/>
  <c r="Z765" i="26"/>
  <c r="Y766" i="26"/>
  <c r="Y767" i="26"/>
  <c r="Z766" i="26"/>
  <c r="Y768" i="26"/>
  <c r="Z767" i="26"/>
  <c r="Y769" i="26"/>
  <c r="Z768" i="26"/>
  <c r="Y770" i="26"/>
  <c r="Z769" i="26"/>
  <c r="Y771" i="26"/>
  <c r="Z770" i="26"/>
  <c r="Z771" i="26"/>
  <c r="Y772" i="26"/>
  <c r="Z772" i="26"/>
  <c r="Y773" i="26"/>
  <c r="Z773" i="26"/>
  <c r="Y774" i="26"/>
  <c r="Z774" i="26"/>
  <c r="Y775" i="26"/>
  <c r="Z775" i="26"/>
  <c r="Y776" i="26"/>
  <c r="Z776" i="26"/>
  <c r="Y777" i="26"/>
  <c r="Y778" i="26"/>
  <c r="Z777" i="26"/>
  <c r="Y779" i="26"/>
  <c r="Z778" i="26"/>
  <c r="Y780" i="26"/>
  <c r="Z779" i="26"/>
  <c r="Z780" i="26"/>
  <c r="Y781" i="26"/>
  <c r="Z781" i="26"/>
  <c r="Y782" i="26"/>
  <c r="Z782" i="26"/>
  <c r="Y783" i="26"/>
  <c r="Z783" i="26"/>
  <c r="Y784" i="26"/>
  <c r="Y785" i="26"/>
  <c r="Z784" i="26"/>
  <c r="Z785" i="26"/>
  <c r="Y786" i="26"/>
  <c r="Y787" i="26"/>
  <c r="Z786" i="26"/>
  <c r="Y788" i="26"/>
  <c r="Z787" i="26"/>
  <c r="Y789" i="26"/>
  <c r="Z788" i="26"/>
  <c r="Y790" i="26"/>
  <c r="Z789" i="26"/>
  <c r="Y791" i="26"/>
  <c r="Z790" i="26"/>
  <c r="Z791" i="26"/>
  <c r="Y792" i="26"/>
  <c r="Y793" i="26"/>
  <c r="Z792" i="26"/>
  <c r="Z793" i="26"/>
  <c r="Y794" i="26"/>
  <c r="Y795" i="26"/>
  <c r="Z794" i="26"/>
  <c r="Z795" i="26"/>
  <c r="Y796" i="26"/>
  <c r="Y797" i="26"/>
  <c r="Z796" i="26"/>
  <c r="Z797" i="26"/>
  <c r="Y798" i="26"/>
  <c r="Z798" i="26"/>
  <c r="Y799" i="26"/>
  <c r="Y800" i="26"/>
  <c r="Z799" i="26"/>
  <c r="Y801" i="26"/>
  <c r="Z800" i="26"/>
  <c r="Y802" i="26"/>
  <c r="Z801" i="26"/>
  <c r="Z802" i="26"/>
  <c r="Y803" i="26"/>
  <c r="Z803" i="26"/>
  <c r="Y804" i="26"/>
  <c r="Z804" i="26"/>
  <c r="Y805" i="26"/>
  <c r="Z805" i="26"/>
  <c r="Y806" i="26"/>
  <c r="Z806" i="26"/>
  <c r="Y807" i="26"/>
  <c r="Z807" i="26"/>
  <c r="Y808" i="26"/>
  <c r="Y809" i="26"/>
  <c r="Z808" i="26"/>
  <c r="Y810" i="26"/>
  <c r="Z809" i="26"/>
  <c r="Z810" i="26"/>
  <c r="Y811" i="26"/>
  <c r="Z811" i="26"/>
  <c r="Y812" i="26"/>
  <c r="Z812" i="26"/>
  <c r="Y813" i="26"/>
  <c r="Z813" i="26"/>
  <c r="Y814" i="26"/>
  <c r="Y815" i="26"/>
  <c r="Z814" i="26"/>
  <c r="Z815" i="26"/>
  <c r="Y816" i="26"/>
  <c r="Z816" i="26"/>
  <c r="Y817" i="26"/>
  <c r="Y818" i="26"/>
  <c r="Z817" i="26"/>
  <c r="Y819" i="26"/>
  <c r="Z818" i="26"/>
  <c r="Z819" i="26"/>
  <c r="Y820" i="26"/>
  <c r="Y821" i="26"/>
  <c r="Z820" i="26"/>
  <c r="Z821" i="26"/>
  <c r="Y822" i="26"/>
  <c r="Z822" i="26"/>
  <c r="Y823" i="26"/>
  <c r="Y824" i="26"/>
  <c r="Z823" i="26"/>
  <c r="Y825" i="26"/>
  <c r="Z824" i="26"/>
  <c r="Z825" i="26"/>
  <c r="Y826" i="26"/>
  <c r="Y827" i="26"/>
  <c r="Z826" i="26"/>
  <c r="Y828" i="26"/>
  <c r="Z827" i="26"/>
  <c r="Z828" i="26"/>
  <c r="Y829" i="26"/>
  <c r="Y830" i="26"/>
  <c r="Z829" i="26"/>
  <c r="Z830" i="26"/>
  <c r="Y831" i="26"/>
  <c r="Z831" i="26"/>
  <c r="Y832" i="26"/>
  <c r="Y833" i="26"/>
  <c r="Z832" i="26"/>
  <c r="Z833" i="26"/>
  <c r="Y834" i="26"/>
  <c r="Y835" i="26"/>
  <c r="Z834" i="26"/>
  <c r="Y836" i="26"/>
  <c r="Z835" i="26"/>
  <c r="Y837" i="26"/>
  <c r="Z836" i="26"/>
  <c r="Z837" i="26"/>
  <c r="Y838" i="26"/>
  <c r="Z838" i="26"/>
  <c r="Y839" i="26"/>
  <c r="Y840" i="26"/>
  <c r="Z839" i="26"/>
  <c r="Z840" i="26"/>
  <c r="Y841" i="26"/>
  <c r="Z841" i="26"/>
  <c r="Y842" i="26"/>
  <c r="Y843" i="26"/>
  <c r="Z842" i="26"/>
  <c r="Z843" i="26"/>
  <c r="Y844" i="26"/>
  <c r="Y845" i="26"/>
  <c r="Z844" i="26"/>
  <c r="Z845" i="26"/>
  <c r="Y846" i="26"/>
  <c r="Y847" i="26"/>
  <c r="Z846" i="26"/>
  <c r="Y848" i="26"/>
  <c r="Z847" i="26"/>
  <c r="Y849" i="26"/>
  <c r="Z848" i="26"/>
  <c r="Z849" i="26"/>
  <c r="Y850" i="26"/>
  <c r="Z850" i="26"/>
  <c r="Y851" i="26"/>
  <c r="Y852" i="26"/>
  <c r="Z851" i="26"/>
  <c r="Z852" i="26"/>
  <c r="Y853" i="26"/>
  <c r="Y854" i="26"/>
  <c r="Z853" i="26"/>
  <c r="Z854" i="26"/>
  <c r="Y855" i="26"/>
  <c r="Y856" i="26"/>
  <c r="Z855" i="26"/>
  <c r="Y857" i="26"/>
  <c r="Z856" i="26"/>
  <c r="Y858" i="26"/>
  <c r="Z857" i="26"/>
  <c r="Y859" i="26"/>
  <c r="Z858" i="26"/>
  <c r="Z859" i="26"/>
  <c r="Y860" i="26"/>
  <c r="Z860" i="26"/>
  <c r="Y861" i="26"/>
  <c r="Y862" i="26"/>
  <c r="Z861" i="26"/>
  <c r="Z862" i="26"/>
  <c r="Y863" i="26"/>
  <c r="Y864" i="26"/>
  <c r="Z863" i="26"/>
  <c r="Y865" i="26"/>
  <c r="Z864" i="26"/>
  <c r="Y866" i="26"/>
  <c r="Z865" i="26"/>
  <c r="Z866" i="26"/>
  <c r="Y867" i="26"/>
  <c r="Y868" i="26"/>
  <c r="Z867" i="26"/>
  <c r="Z868" i="26"/>
  <c r="Y869" i="26"/>
  <c r="Y870" i="26"/>
  <c r="Z869" i="26"/>
  <c r="Z870" i="26"/>
  <c r="Y871" i="26"/>
  <c r="Y872" i="26"/>
  <c r="Z871" i="26"/>
  <c r="Y873" i="26"/>
  <c r="Z872" i="26"/>
  <c r="Z873" i="26"/>
  <c r="Y874" i="26"/>
  <c r="Z874" i="26"/>
  <c r="Y875" i="26"/>
  <c r="Z875" i="26"/>
  <c r="Y876" i="26"/>
  <c r="Y877" i="26"/>
  <c r="Z876" i="26"/>
  <c r="Z877" i="26"/>
  <c r="Y878" i="26"/>
  <c r="Y879" i="26"/>
  <c r="Z878" i="26"/>
  <c r="Z879" i="26"/>
  <c r="Y880" i="26"/>
  <c r="Y881" i="26"/>
  <c r="Z880" i="26"/>
  <c r="Y882" i="26"/>
  <c r="Z881" i="26"/>
  <c r="Z882" i="26"/>
  <c r="Y883" i="26"/>
  <c r="Z883" i="26"/>
  <c r="Y884" i="26"/>
  <c r="Z884" i="26"/>
  <c r="Y885" i="26"/>
  <c r="Y886" i="26"/>
  <c r="Z885" i="26"/>
  <c r="Z886" i="26"/>
  <c r="Y887" i="26"/>
  <c r="Y888" i="26"/>
  <c r="Z887" i="26"/>
  <c r="Z888" i="26"/>
  <c r="Y889" i="26"/>
  <c r="Y890" i="26"/>
  <c r="Z889" i="26"/>
  <c r="Z890" i="26"/>
  <c r="Y891" i="26"/>
  <c r="Y892" i="26"/>
  <c r="Z891" i="26"/>
  <c r="Y893" i="26"/>
  <c r="Z892" i="26"/>
  <c r="Y894" i="26"/>
  <c r="Z893" i="26"/>
  <c r="Y895" i="26"/>
  <c r="Z894" i="26"/>
  <c r="Z895" i="26"/>
  <c r="Y896" i="26"/>
  <c r="Z896" i="26"/>
  <c r="Y897" i="26"/>
  <c r="Y898" i="26"/>
  <c r="Z897" i="26"/>
  <c r="Z898" i="26"/>
  <c r="Y899" i="26"/>
  <c r="Z899" i="26"/>
  <c r="Y900" i="26"/>
  <c r="Y901" i="26"/>
  <c r="Z900" i="26"/>
  <c r="Z901" i="26"/>
  <c r="Y902" i="26"/>
  <c r="Z902" i="26"/>
  <c r="Y903" i="26"/>
  <c r="Z903" i="26"/>
  <c r="Y904" i="26"/>
  <c r="Y905" i="26"/>
  <c r="Z904" i="26"/>
  <c r="Z905" i="26"/>
  <c r="Y906" i="26"/>
  <c r="Y907" i="26"/>
  <c r="Z906" i="26"/>
  <c r="Y908" i="26"/>
  <c r="Z907" i="26"/>
  <c r="Z908" i="26"/>
  <c r="Y909" i="26"/>
  <c r="Y910" i="26"/>
  <c r="Z909" i="26"/>
  <c r="Y911" i="26"/>
  <c r="Z910" i="26"/>
  <c r="Y912" i="26"/>
  <c r="Z911" i="26"/>
  <c r="Y913" i="26"/>
  <c r="Z912" i="26"/>
  <c r="Z913" i="26"/>
  <c r="Y914" i="26"/>
  <c r="Z914" i="26"/>
  <c r="Y915" i="26"/>
  <c r="Z915" i="26"/>
  <c r="Y916" i="26"/>
  <c r="Z916" i="26"/>
  <c r="Y917" i="26"/>
  <c r="Z917" i="26"/>
  <c r="Y918" i="26"/>
  <c r="Z918" i="26"/>
  <c r="Y919" i="26"/>
  <c r="Y920" i="26"/>
  <c r="Z919" i="26"/>
  <c r="Y921" i="26"/>
  <c r="Z920" i="26"/>
  <c r="Y922" i="26"/>
  <c r="Z921" i="26"/>
  <c r="Z922" i="26"/>
  <c r="Y923" i="26"/>
  <c r="Z923" i="26"/>
  <c r="Y924" i="26"/>
  <c r="Y925" i="26"/>
  <c r="Z924" i="26"/>
  <c r="Z925" i="26"/>
  <c r="Y926" i="26"/>
  <c r="Z926" i="26"/>
  <c r="Y927" i="26"/>
  <c r="Y928" i="26"/>
  <c r="Z927" i="26"/>
  <c r="Z928" i="26"/>
  <c r="Y929" i="26"/>
  <c r="Z929" i="26"/>
  <c r="Y930" i="26"/>
  <c r="Y931" i="26"/>
  <c r="Z930" i="26"/>
  <c r="Y932" i="26"/>
  <c r="Z931" i="26"/>
  <c r="Y933" i="26"/>
  <c r="Z932" i="26"/>
  <c r="Z933" i="26"/>
  <c r="Y934" i="26"/>
  <c r="Y935" i="26"/>
  <c r="Z934" i="26"/>
  <c r="Y936" i="26"/>
  <c r="Z935" i="26"/>
  <c r="Z936" i="26"/>
  <c r="Y937" i="26"/>
  <c r="Y938" i="26"/>
  <c r="Z937" i="26"/>
  <c r="Y939" i="26"/>
  <c r="Z938" i="26"/>
  <c r="Y940" i="26"/>
  <c r="Z939" i="26"/>
  <c r="Z940" i="26"/>
  <c r="Y941" i="26"/>
  <c r="Z941" i="26"/>
  <c r="Y942" i="26"/>
  <c r="Z942" i="26"/>
  <c r="Y943" i="26"/>
  <c r="Y944" i="26"/>
  <c r="Z943" i="26"/>
  <c r="Z944" i="26"/>
  <c r="Y945" i="26"/>
  <c r="Y946" i="26"/>
  <c r="Z945" i="26"/>
  <c r="Y947" i="26"/>
  <c r="Z946" i="26"/>
  <c r="Y948" i="26"/>
  <c r="Z947" i="26"/>
  <c r="Y949" i="26"/>
  <c r="Z948" i="26"/>
  <c r="Z949" i="26"/>
  <c r="Y950" i="26"/>
  <c r="Z950" i="26"/>
  <c r="Y951" i="26"/>
  <c r="Z951" i="26"/>
  <c r="Y952" i="26"/>
  <c r="Z952" i="26"/>
  <c r="Y953" i="26"/>
  <c r="Y954" i="26"/>
  <c r="Z953" i="26"/>
  <c r="Y955" i="26"/>
  <c r="Z954" i="26"/>
  <c r="Y956" i="26"/>
  <c r="Z955" i="26"/>
  <c r="Z956" i="26"/>
  <c r="Y957" i="26"/>
  <c r="Z957" i="26"/>
  <c r="Y958" i="26"/>
  <c r="Y959" i="26"/>
  <c r="Z958" i="26"/>
  <c r="Z959" i="26"/>
  <c r="Y960" i="26"/>
  <c r="Y961" i="26"/>
  <c r="Z960" i="26"/>
  <c r="Z961" i="26"/>
  <c r="Y962" i="26"/>
  <c r="Y963" i="26"/>
  <c r="Z962" i="26"/>
  <c r="Z963" i="26"/>
  <c r="Y964" i="26"/>
  <c r="Z964" i="26"/>
  <c r="Y965" i="26"/>
  <c r="Z965" i="26"/>
  <c r="Y966" i="26"/>
  <c r="Y967" i="26"/>
  <c r="Z966" i="26"/>
  <c r="Y968" i="26"/>
  <c r="Z967" i="26"/>
  <c r="Y969" i="26"/>
  <c r="Z968" i="26"/>
  <c r="Z969" i="26"/>
  <c r="Y970" i="26"/>
  <c r="Y971" i="26"/>
  <c r="Z970" i="26"/>
  <c r="Z971" i="26"/>
  <c r="Y972" i="26"/>
  <c r="Y973" i="26"/>
  <c r="Z972" i="26"/>
  <c r="Y974" i="26"/>
  <c r="Z973" i="26"/>
  <c r="Y975" i="26"/>
  <c r="Z974" i="26"/>
  <c r="Z975" i="26"/>
  <c r="Y976" i="26"/>
  <c r="Z976" i="26"/>
  <c r="Y977" i="26"/>
  <c r="Y978" i="26"/>
  <c r="Z977" i="26"/>
  <c r="Y979" i="26"/>
  <c r="Z978" i="26"/>
  <c r="Z979" i="26"/>
  <c r="Y980" i="26"/>
  <c r="Y981" i="26"/>
  <c r="Z980" i="26"/>
  <c r="Z981" i="26"/>
  <c r="Y982" i="26"/>
  <c r="Z982" i="26"/>
  <c r="Y983" i="26"/>
  <c r="Y984" i="26"/>
  <c r="Z983" i="26"/>
  <c r="Y985" i="26"/>
  <c r="Z984" i="26"/>
  <c r="Z985" i="26"/>
  <c r="Y986" i="26"/>
  <c r="Z986" i="26"/>
  <c r="Y987" i="26"/>
  <c r="Y988" i="26"/>
  <c r="Z987" i="26"/>
  <c r="Z988" i="26"/>
  <c r="Y989" i="26"/>
  <c r="Y990" i="26"/>
  <c r="Z989" i="26"/>
  <c r="Z990" i="26"/>
  <c r="Y991" i="26"/>
  <c r="Y992" i="26"/>
  <c r="Z991" i="26"/>
  <c r="Z992" i="26"/>
  <c r="Y993" i="26"/>
  <c r="Z993" i="26"/>
  <c r="Y994" i="26"/>
  <c r="Y995" i="26"/>
  <c r="Z994" i="26"/>
  <c r="Z995" i="26"/>
  <c r="Y996" i="26"/>
  <c r="Z996" i="26"/>
  <c r="Y997" i="26"/>
  <c r="Z997" i="26"/>
  <c r="Y998" i="26"/>
  <c r="Y999" i="26"/>
  <c r="Z998" i="26"/>
  <c r="Z999" i="26"/>
  <c r="Y1000" i="26"/>
  <c r="Z1000" i="26"/>
  <c r="Y1001" i="26"/>
  <c r="Y1002" i="26"/>
  <c r="Z1001" i="26"/>
  <c r="Y1003" i="26"/>
  <c r="Z1002" i="26"/>
  <c r="Y1004" i="26"/>
  <c r="Z1003" i="26"/>
  <c r="Y1005" i="26"/>
  <c r="Z1004" i="26"/>
  <c r="Y1006" i="26"/>
  <c r="Z1005" i="26"/>
  <c r="Z1006" i="26"/>
  <c r="Y1007" i="26"/>
  <c r="Z1007" i="26"/>
  <c r="Y1008" i="26"/>
  <c r="Z1008" i="26"/>
  <c r="Y1009" i="26"/>
  <c r="Y1010" i="26"/>
  <c r="Z1009" i="26"/>
  <c r="Y1011" i="26"/>
  <c r="Z1010" i="26"/>
  <c r="Y1012" i="26"/>
  <c r="Z1011" i="26"/>
  <c r="Y1013" i="26"/>
  <c r="Z1012" i="26"/>
  <c r="Y1014" i="26"/>
  <c r="Z1013" i="26"/>
  <c r="Y1015" i="26"/>
  <c r="Z1014" i="26"/>
  <c r="Y1016" i="26"/>
  <c r="Z1015" i="26"/>
  <c r="Z1016" i="26"/>
  <c r="Y1017" i="26"/>
  <c r="Y1018" i="26"/>
  <c r="Z1017" i="26"/>
  <c r="Z1018" i="26"/>
  <c r="Y1019" i="26"/>
  <c r="Y1020" i="26"/>
  <c r="Z1019" i="26"/>
  <c r="Y1021" i="26"/>
  <c r="Z1020" i="26"/>
  <c r="Z1021" i="26"/>
  <c r="Y1022" i="26"/>
  <c r="Z1022" i="26"/>
  <c r="Y1023" i="26"/>
  <c r="Z1023" i="26"/>
  <c r="Y1024" i="26"/>
  <c r="Y1025" i="26"/>
  <c r="Z1024" i="26"/>
  <c r="Z1025" i="26"/>
  <c r="Y1026" i="26"/>
  <c r="Y1027" i="26"/>
  <c r="Z1026" i="26"/>
  <c r="Y1028" i="26"/>
  <c r="Z1027" i="26"/>
  <c r="Z1028" i="26"/>
  <c r="Y1029" i="26"/>
  <c r="Y1030" i="26"/>
  <c r="Z1029" i="26"/>
  <c r="Y1031" i="26"/>
  <c r="Z1030" i="26"/>
  <c r="Z1031" i="26"/>
  <c r="Y1032" i="26"/>
  <c r="Z1032" i="26"/>
  <c r="Y1033" i="26"/>
  <c r="Y1034" i="26"/>
  <c r="Z1033" i="26"/>
  <c r="Y1035" i="26"/>
  <c r="Z1034" i="26"/>
  <c r="Y1036" i="26"/>
  <c r="Z1035" i="26"/>
  <c r="Y1037" i="26"/>
  <c r="Z1036" i="26"/>
  <c r="Z1037" i="26"/>
  <c r="Y1038" i="26"/>
  <c r="Y1039" i="26"/>
  <c r="Z1038" i="26"/>
  <c r="Z1039" i="26"/>
  <c r="Y1040" i="26"/>
  <c r="Z1040" i="26"/>
  <c r="Y1041" i="26"/>
  <c r="Y1042" i="26"/>
  <c r="Z1041" i="26"/>
  <c r="Y1043" i="26"/>
  <c r="Z1042" i="26"/>
  <c r="Z1043" i="26"/>
  <c r="Y1044" i="26"/>
  <c r="Y1045" i="26"/>
  <c r="Z1044" i="26"/>
  <c r="Y1046" i="26"/>
  <c r="Z1045" i="26"/>
  <c r="Z1046" i="26"/>
  <c r="Y1047" i="26"/>
  <c r="Z1047" i="26"/>
  <c r="Y1048" i="26"/>
  <c r="Y1049" i="26"/>
  <c r="Z1048" i="26"/>
  <c r="Z1049" i="26"/>
  <c r="Y1050" i="26"/>
  <c r="Z1050" i="26"/>
  <c r="Y1051" i="26"/>
  <c r="Z1051" i="26"/>
  <c r="Y1052" i="26"/>
  <c r="Y1053" i="26"/>
  <c r="Z1052" i="26"/>
  <c r="Y1054" i="26"/>
  <c r="Z1053" i="26"/>
  <c r="Y1055" i="26"/>
  <c r="Z1054" i="26"/>
  <c r="Y1056" i="26"/>
  <c r="Z1055" i="26"/>
  <c r="Z1056" i="26"/>
  <c r="Y1057" i="26"/>
  <c r="Z1057" i="26"/>
  <c r="Y1058" i="26"/>
  <c r="Y1059" i="26"/>
  <c r="Z1058" i="26"/>
  <c r="Z1059" i="26"/>
  <c r="Y1060" i="26"/>
  <c r="Y1061" i="26"/>
  <c r="Z1060" i="26"/>
  <c r="Y1062" i="26"/>
  <c r="Z1061" i="26"/>
  <c r="Z1062" i="26"/>
  <c r="Y1063" i="26"/>
  <c r="Z1063" i="26"/>
  <c r="Y1064" i="26"/>
  <c r="Z1064" i="26"/>
  <c r="Y1065" i="26"/>
  <c r="Y1066" i="26"/>
  <c r="Z1065" i="26"/>
  <c r="Y1067" i="26"/>
  <c r="Z1066" i="26"/>
  <c r="Y1068" i="26"/>
  <c r="Z1067" i="26"/>
  <c r="Y1069" i="26"/>
  <c r="Z1068" i="26"/>
  <c r="Z1069" i="26"/>
  <c r="Y1070" i="26"/>
  <c r="Z1070" i="26"/>
  <c r="Y1071" i="26"/>
  <c r="Y1072" i="26"/>
  <c r="Z1071" i="26"/>
  <c r="Y1073" i="26"/>
  <c r="Z1072" i="26"/>
  <c r="Y1074" i="26"/>
  <c r="Z1073" i="26"/>
  <c r="Y1075" i="26"/>
  <c r="Z1074" i="26"/>
  <c r="Y1076" i="26"/>
  <c r="Z1075" i="26"/>
  <c r="Z1076" i="26"/>
  <c r="Y1077" i="26"/>
  <c r="Z1077" i="26"/>
  <c r="Y1078" i="26"/>
  <c r="Y1079" i="26"/>
  <c r="Z1078" i="26"/>
  <c r="Z1079" i="26"/>
  <c r="Y1080" i="26"/>
  <c r="Y1081" i="26"/>
  <c r="Z1080" i="26"/>
  <c r="Y1082" i="26"/>
  <c r="Z1081" i="26"/>
  <c r="Y1083" i="26"/>
  <c r="Z1082" i="26"/>
  <c r="Z1083" i="26"/>
  <c r="Y1084" i="26"/>
  <c r="Y1085" i="26"/>
  <c r="Z1084" i="26"/>
  <c r="Y1086" i="26"/>
  <c r="Z1085" i="26"/>
  <c r="Z1086" i="26"/>
  <c r="Y1087" i="26"/>
  <c r="Y1088" i="26"/>
  <c r="Z1087" i="26"/>
  <c r="Y1089" i="26"/>
  <c r="Z1088" i="26"/>
  <c r="Y1090" i="26"/>
  <c r="Z1089" i="26"/>
  <c r="Z1090" i="26"/>
  <c r="Y1091" i="26"/>
  <c r="Z1091" i="26"/>
  <c r="Y1092" i="26"/>
  <c r="Z1092" i="26"/>
  <c r="Y1093" i="26"/>
  <c r="Y1094" i="26"/>
  <c r="Z1093" i="26"/>
  <c r="Y1095" i="26"/>
  <c r="Z1094" i="26"/>
  <c r="Y1096" i="26"/>
  <c r="Z1095" i="26"/>
  <c r="Z1096" i="26"/>
  <c r="Y1097" i="26"/>
  <c r="Y1098" i="26"/>
  <c r="Z1097" i="26"/>
  <c r="Y1099" i="26"/>
  <c r="Z1098" i="26"/>
  <c r="Z1099" i="26"/>
  <c r="Y1100" i="26"/>
  <c r="Z1100" i="26"/>
  <c r="Y1101" i="26"/>
  <c r="Y1102" i="26"/>
  <c r="Z1101" i="26"/>
  <c r="Z1102" i="26"/>
  <c r="Y1103" i="26"/>
  <c r="Z1103" i="26"/>
  <c r="Y1104" i="26"/>
  <c r="Y1105" i="26"/>
  <c r="Z1104" i="26"/>
  <c r="Y1106" i="26"/>
  <c r="Z1105" i="26"/>
  <c r="Z1106" i="26"/>
  <c r="Y1107" i="26"/>
  <c r="Z1107" i="26"/>
  <c r="Y1108" i="26"/>
  <c r="Z1108" i="26"/>
  <c r="Y1109" i="26"/>
  <c r="Z1109" i="26"/>
  <c r="Y1110" i="26"/>
  <c r="Z1110" i="26"/>
  <c r="Y1111" i="26"/>
  <c r="Z1111" i="26"/>
  <c r="Y1112" i="26"/>
  <c r="Y1113" i="26"/>
  <c r="Z1112" i="26"/>
  <c r="Z1113" i="26"/>
  <c r="Y1114" i="26"/>
  <c r="Y1115" i="26"/>
  <c r="Z1114" i="26"/>
  <c r="Z1115" i="26"/>
  <c r="Y1116" i="26"/>
  <c r="Z1116" i="26"/>
  <c r="Y1117" i="26"/>
  <c r="Y1118" i="26"/>
  <c r="Z1117" i="26"/>
  <c r="Y1119" i="26"/>
  <c r="Z1118" i="26"/>
  <c r="Y1120" i="26"/>
  <c r="Z1119" i="26"/>
  <c r="Y1121" i="26"/>
  <c r="Z1120" i="26"/>
  <c r="Y1122" i="26"/>
  <c r="Z1121" i="26"/>
  <c r="Z1122" i="26"/>
  <c r="Y1123" i="26"/>
  <c r="Z1123" i="26"/>
  <c r="Y1124" i="26"/>
  <c r="Y1125" i="26"/>
  <c r="Z1124" i="26"/>
  <c r="Y1126" i="26"/>
  <c r="Z1125" i="26"/>
  <c r="Y1127" i="26"/>
  <c r="Z1126" i="26"/>
  <c r="Z1127" i="26"/>
  <c r="Y1128" i="26"/>
  <c r="Z1128" i="26"/>
  <c r="Y1129" i="26"/>
  <c r="Y1130" i="26"/>
  <c r="Z1129" i="26"/>
  <c r="Z1130" i="26"/>
  <c r="Y1131" i="26"/>
  <c r="Y1132" i="26"/>
  <c r="Z1131" i="26"/>
  <c r="Y1133" i="26"/>
  <c r="Z1132" i="26"/>
  <c r="Y1134" i="26"/>
  <c r="Z1133" i="26"/>
  <c r="Y1135" i="26"/>
  <c r="Z1134" i="26"/>
  <c r="Z1135" i="26"/>
  <c r="Y1136" i="26"/>
  <c r="Y1137" i="26"/>
  <c r="Z1136" i="26"/>
  <c r="Z1137" i="26"/>
  <c r="Y1138" i="26"/>
  <c r="Y1139" i="26"/>
  <c r="Z1138" i="26"/>
  <c r="Y1140" i="26"/>
  <c r="Z1139" i="26"/>
  <c r="Z1140" i="26"/>
  <c r="Y1141" i="26"/>
  <c r="Z1141" i="26"/>
  <c r="Y1142" i="26"/>
  <c r="Y1143" i="26"/>
  <c r="Z1142" i="26"/>
  <c r="Y1144" i="26"/>
  <c r="Z1143" i="26"/>
  <c r="Y1145" i="26"/>
  <c r="Z1144" i="26"/>
  <c r="Y1146" i="26"/>
  <c r="Z1145" i="26"/>
  <c r="Z1146" i="26"/>
  <c r="Y1147" i="26"/>
  <c r="Y1148" i="26"/>
  <c r="Z1147" i="26"/>
  <c r="Y1149" i="26"/>
  <c r="Z1148" i="26"/>
  <c r="Y1150" i="26"/>
  <c r="Z1149" i="26"/>
  <c r="Z1150" i="26"/>
  <c r="Y1151" i="26"/>
  <c r="Z1151" i="26"/>
  <c r="Y1152" i="26"/>
  <c r="Z1152" i="26"/>
  <c r="Y1153" i="26"/>
  <c r="Y1154" i="26"/>
  <c r="Z1153" i="26"/>
  <c r="Z1154" i="26"/>
  <c r="Y1155" i="26"/>
  <c r="Z1155" i="26"/>
  <c r="Y1156" i="26"/>
  <c r="Y1157" i="26"/>
  <c r="Z1156" i="26"/>
  <c r="Y1158" i="26"/>
  <c r="Z1157" i="26"/>
  <c r="Z1158" i="26"/>
  <c r="Y1159" i="26"/>
  <c r="Y1160" i="26"/>
  <c r="Z1159" i="26"/>
  <c r="Y1161" i="26"/>
  <c r="Z1160" i="26"/>
  <c r="Z1161" i="26"/>
  <c r="Y1162" i="26"/>
  <c r="Y1163" i="26"/>
  <c r="Z1162" i="26"/>
  <c r="Z1163" i="26"/>
  <c r="Y1164" i="26"/>
  <c r="Z1164" i="26"/>
  <c r="Y1165" i="26"/>
  <c r="Y1166" i="26"/>
  <c r="Z1165" i="26"/>
  <c r="Z1166" i="26"/>
  <c r="Y1167" i="26"/>
  <c r="Y1168" i="26"/>
  <c r="Z1167" i="26"/>
  <c r="Y1169" i="26"/>
  <c r="Z1168" i="26"/>
  <c r="Y1170" i="26"/>
  <c r="Z1169" i="26"/>
  <c r="Y1171" i="26"/>
  <c r="Z1170" i="26"/>
  <c r="Y1172" i="26"/>
  <c r="Z1171" i="26"/>
  <c r="Y1173" i="26"/>
  <c r="Z1172" i="26"/>
  <c r="Y1174" i="26"/>
  <c r="Z1173" i="26"/>
  <c r="Z1174" i="26"/>
  <c r="Y1175" i="26"/>
  <c r="Y1176" i="26"/>
  <c r="Z1175" i="26"/>
  <c r="Y1177" i="26"/>
  <c r="Z1176" i="26"/>
  <c r="Z1177" i="26"/>
  <c r="Y1178" i="26"/>
  <c r="Z1178" i="26"/>
  <c r="Y1179" i="26"/>
  <c r="Z1179" i="26"/>
  <c r="Y1180" i="26"/>
  <c r="Y1181" i="26"/>
  <c r="Z1180" i="26"/>
  <c r="Z1181" i="26"/>
  <c r="Y1182" i="26"/>
  <c r="Y1183" i="26"/>
  <c r="Z1182" i="26"/>
  <c r="Y1184" i="26"/>
  <c r="Z1183" i="26"/>
  <c r="Z1184" i="26"/>
  <c r="Y1185" i="26"/>
  <c r="Y1186" i="26"/>
  <c r="Z1185" i="26"/>
  <c r="Y1187" i="26"/>
  <c r="Z1186" i="26"/>
  <c r="Z1187" i="26"/>
  <c r="Y1188" i="26"/>
  <c r="Z1188" i="26"/>
  <c r="Y1189" i="26"/>
  <c r="Z1189" i="26"/>
  <c r="Y1190" i="26"/>
  <c r="Y1191" i="26"/>
  <c r="Z1190" i="26"/>
  <c r="Z1191" i="26"/>
  <c r="Y1192" i="26"/>
  <c r="Z1192" i="26"/>
  <c r="Y1193" i="26"/>
  <c r="Z1193" i="26"/>
  <c r="Y1194" i="26"/>
  <c r="Y1195" i="26"/>
  <c r="Z1194" i="26"/>
  <c r="Z1195" i="26"/>
  <c r="Y1196" i="26"/>
  <c r="Y1197" i="26"/>
  <c r="Z1196" i="26"/>
  <c r="Y1198" i="26"/>
  <c r="Z1197" i="26"/>
  <c r="Y1199" i="26"/>
  <c r="Z1198" i="26"/>
  <c r="Y1200" i="26"/>
  <c r="Z1199" i="26"/>
  <c r="Y1201" i="26"/>
  <c r="Z1200" i="26"/>
  <c r="Y1202" i="26"/>
  <c r="Z1201" i="26"/>
  <c r="Y1203" i="26"/>
  <c r="Z1202" i="26"/>
  <c r="Y1204" i="26"/>
  <c r="Z1203" i="26"/>
  <c r="Y1205" i="26"/>
  <c r="Z1204" i="26"/>
  <c r="Z1205" i="26"/>
  <c r="Y1206" i="26"/>
  <c r="Z1206" i="26"/>
  <c r="Y1207" i="26"/>
  <c r="Z1207" i="26"/>
  <c r="Y1208" i="26"/>
  <c r="Z1208" i="26"/>
  <c r="Y1209" i="26"/>
  <c r="Y1210" i="26"/>
  <c r="Z1209" i="26"/>
  <c r="Y1211" i="26"/>
  <c r="Z1210" i="26"/>
  <c r="Y1212" i="26"/>
  <c r="Z1211" i="26"/>
  <c r="Z1212" i="26"/>
  <c r="Y1213" i="26"/>
  <c r="Y1214" i="26"/>
  <c r="Z1213" i="26"/>
  <c r="Z1214" i="26"/>
  <c r="Y1215" i="26"/>
  <c r="Z1215" i="26"/>
  <c r="Y1216" i="26"/>
  <c r="Y1217" i="26"/>
  <c r="Z1216" i="26"/>
  <c r="Z1217" i="26"/>
  <c r="Y1218" i="26"/>
  <c r="Y1219" i="26"/>
  <c r="Z1218" i="26"/>
  <c r="Y1220" i="26"/>
  <c r="Z1219" i="26"/>
  <c r="Y1221" i="26"/>
  <c r="Z1220" i="26"/>
  <c r="Y1222" i="26"/>
  <c r="Z1221" i="26"/>
  <c r="Y1223" i="26"/>
  <c r="Z1222" i="26"/>
  <c r="Y1224" i="26"/>
  <c r="Z1223" i="26"/>
  <c r="Z1224" i="26"/>
  <c r="Y1225" i="26"/>
  <c r="Y1226" i="26"/>
  <c r="Z1225" i="26"/>
  <c r="Y1227" i="26"/>
  <c r="Z1226" i="26"/>
  <c r="Y1228" i="26"/>
  <c r="Z1227" i="26"/>
  <c r="Y1229" i="26"/>
  <c r="Z1228" i="26"/>
  <c r="Y1230" i="26"/>
  <c r="Z1229" i="26"/>
  <c r="Z1230" i="26"/>
  <c r="Y1231" i="26"/>
  <c r="Z1231" i="26"/>
  <c r="Y1232" i="26"/>
  <c r="Z1232" i="26"/>
  <c r="Y1233" i="26"/>
  <c r="Y1234" i="26"/>
  <c r="Z1233" i="26"/>
  <c r="Y1235" i="26"/>
  <c r="Z1234" i="26"/>
  <c r="Z1235" i="26"/>
  <c r="Y1236" i="26"/>
  <c r="Y1237" i="26"/>
  <c r="Z1236" i="26"/>
  <c r="Y1238" i="26"/>
  <c r="Z1237" i="26"/>
  <c r="Z1238" i="26"/>
  <c r="Y1239" i="26"/>
  <c r="Y1240" i="26"/>
  <c r="Z1239" i="26"/>
  <c r="Y1241" i="26"/>
  <c r="Z1240" i="26"/>
  <c r="Z1241" i="26"/>
  <c r="Y1242" i="26"/>
  <c r="Y1243" i="26"/>
  <c r="Z1242" i="26"/>
  <c r="Y1244" i="26"/>
  <c r="Z1243" i="26"/>
  <c r="Y1245" i="26"/>
  <c r="Z1244" i="26"/>
  <c r="Y1246" i="26"/>
  <c r="Z1245" i="26"/>
  <c r="Z1246" i="26"/>
  <c r="Y1247" i="26"/>
  <c r="Z1247" i="26"/>
  <c r="Y1248" i="26"/>
  <c r="Y1249" i="26"/>
  <c r="Z1248" i="26"/>
  <c r="Z1249" i="26"/>
  <c r="Y1250" i="26"/>
  <c r="Y1251" i="26"/>
  <c r="Z1250" i="26"/>
  <c r="Z1251" i="26"/>
  <c r="Y1252" i="26"/>
  <c r="Z1252" i="26"/>
  <c r="Y1253" i="26"/>
  <c r="Y1254" i="26"/>
  <c r="Z1253" i="26"/>
  <c r="Y1255" i="26"/>
  <c r="Z1254" i="26"/>
  <c r="Z1255" i="26"/>
  <c r="Y1256" i="26"/>
  <c r="Y1257" i="26"/>
  <c r="Z1256" i="26"/>
  <c r="Z1257" i="26"/>
  <c r="Y1258" i="26"/>
  <c r="Y1259" i="26"/>
  <c r="Z1258" i="26"/>
  <c r="Z1259" i="26"/>
  <c r="Y1260" i="26"/>
  <c r="Y1261" i="26"/>
  <c r="Z1260" i="26"/>
  <c r="Y1262" i="26"/>
  <c r="Z1261" i="26"/>
  <c r="Y1263" i="26"/>
  <c r="Z1262" i="26"/>
  <c r="Z1263" i="26"/>
  <c r="Y1264" i="26"/>
  <c r="Y1265" i="26"/>
  <c r="Z1264" i="26"/>
  <c r="Z1265" i="26"/>
  <c r="Y1266" i="26"/>
  <c r="Y1267" i="26"/>
  <c r="Z1266" i="26"/>
  <c r="Z1267" i="26"/>
  <c r="Y1268" i="26"/>
  <c r="Z1268" i="26"/>
  <c r="Y1269" i="26"/>
  <c r="Y1270" i="26"/>
  <c r="Z1269" i="26"/>
  <c r="Y1271" i="26"/>
  <c r="Z1270" i="26"/>
  <c r="Y1272" i="26"/>
  <c r="Z1271" i="26"/>
  <c r="Y1273" i="26"/>
  <c r="Z1272" i="26"/>
  <c r="Y1274" i="26"/>
  <c r="Z1273" i="26"/>
  <c r="Y1275" i="26"/>
  <c r="Z1274" i="26"/>
  <c r="Y1276" i="26"/>
  <c r="Z1275" i="26"/>
  <c r="Y1277" i="26"/>
  <c r="Z1276" i="26"/>
  <c r="Z1277" i="26"/>
  <c r="Y1278" i="26"/>
  <c r="Z1278" i="26"/>
  <c r="Y1279" i="26"/>
  <c r="Z1279" i="26"/>
  <c r="Y1280" i="26"/>
  <c r="Z1280" i="26"/>
  <c r="Y1281" i="26"/>
  <c r="Z1281" i="26"/>
  <c r="Y1282" i="26"/>
  <c r="Y1283" i="26"/>
  <c r="Z1282" i="26"/>
  <c r="Y1284" i="26"/>
  <c r="Z1283" i="26"/>
  <c r="Z1284" i="26"/>
  <c r="Y1285" i="26"/>
  <c r="Y1286" i="26"/>
  <c r="Z1285" i="26"/>
  <c r="Y1287" i="26"/>
  <c r="Z1286" i="26"/>
  <c r="Z1287" i="26"/>
  <c r="Y1288" i="26"/>
  <c r="Z1288" i="26"/>
  <c r="Y1289" i="26"/>
  <c r="Y1290" i="26"/>
  <c r="Z1289" i="26"/>
  <c r="Z1290" i="26"/>
  <c r="Y1291" i="26"/>
  <c r="Z1291" i="26"/>
  <c r="Y1292" i="26"/>
  <c r="Y1293" i="26"/>
  <c r="Z1292" i="26"/>
  <c r="Y1294" i="26"/>
  <c r="Z1293" i="26"/>
  <c r="Y1295" i="26"/>
  <c r="Z1294" i="26"/>
  <c r="Y1296" i="26"/>
  <c r="Z1295" i="26"/>
  <c r="Z1296" i="26"/>
  <c r="Y1297" i="26"/>
  <c r="Y1298" i="26"/>
  <c r="Z1297" i="26"/>
  <c r="Y1299" i="26"/>
  <c r="Z1298" i="26"/>
  <c r="Z1299" i="26"/>
  <c r="Y1300" i="26"/>
  <c r="Z1300" i="26"/>
  <c r="Y1301" i="26"/>
  <c r="Z1301" i="26"/>
  <c r="Y1302" i="26"/>
  <c r="Z1302" i="26"/>
  <c r="Y1303" i="26"/>
  <c r="Y1304" i="26"/>
  <c r="Z1303" i="26"/>
  <c r="Z1304" i="26"/>
  <c r="Y1305" i="26"/>
  <c r="Y1306" i="26"/>
  <c r="Z1305" i="26"/>
  <c r="Z1306" i="26"/>
  <c r="Y1307" i="26"/>
  <c r="Y1308" i="26"/>
  <c r="Z1307" i="26"/>
  <c r="Y1309" i="26"/>
  <c r="Z1308" i="26"/>
  <c r="Y1310" i="26"/>
  <c r="Z1309" i="26"/>
  <c r="Z1310" i="26"/>
  <c r="Y1311" i="26"/>
  <c r="Y1312" i="26"/>
  <c r="Z1311" i="26"/>
  <c r="Z1312" i="26"/>
  <c r="Y1313" i="26"/>
  <c r="Y1314" i="26"/>
  <c r="Z1313" i="26"/>
  <c r="Z1314" i="26"/>
  <c r="Y1315" i="26"/>
  <c r="Z1315" i="26"/>
  <c r="Y1316" i="26"/>
  <c r="Y1317" i="26"/>
  <c r="Z1316" i="26"/>
  <c r="Y1318" i="26"/>
  <c r="Z1317" i="26"/>
  <c r="Y1319" i="26"/>
  <c r="Z1318" i="26"/>
  <c r="Y1320" i="26"/>
  <c r="Z1319" i="26"/>
  <c r="Y1321" i="26"/>
  <c r="Z1320" i="26"/>
  <c r="Y1322" i="26"/>
  <c r="Z1321" i="26"/>
  <c r="Z1322" i="26"/>
  <c r="Y1323" i="26"/>
  <c r="Z1323" i="26"/>
  <c r="Y1324" i="26"/>
  <c r="Z1324" i="26"/>
  <c r="Y1325" i="26"/>
  <c r="Z1325" i="26"/>
  <c r="Y1326" i="26"/>
  <c r="Y1327" i="26"/>
  <c r="Z1326" i="26"/>
  <c r="Z1327" i="26"/>
  <c r="Y1328" i="26"/>
  <c r="Z1328" i="26"/>
  <c r="Y1329" i="26"/>
  <c r="Y1330" i="26"/>
  <c r="Z1329" i="26"/>
  <c r="Z1330" i="26"/>
  <c r="Y1331" i="26"/>
  <c r="Y1332" i="26"/>
  <c r="Z1331" i="26"/>
  <c r="Z1332" i="26"/>
  <c r="Y1333" i="26"/>
  <c r="Y1334" i="26"/>
  <c r="Z1333" i="26"/>
  <c r="Y1335" i="26"/>
  <c r="Z1334" i="26"/>
  <c r="Z1335" i="26"/>
  <c r="Y1336" i="26"/>
  <c r="Z1336" i="26"/>
  <c r="Y1337" i="26"/>
  <c r="Y1338" i="26"/>
  <c r="Z1337" i="26"/>
  <c r="Z1338" i="26"/>
  <c r="Y1339" i="26"/>
  <c r="Y1340" i="26"/>
  <c r="Z1339" i="26"/>
  <c r="Z1340" i="26"/>
  <c r="Y1341" i="26"/>
  <c r="Y1342" i="26"/>
  <c r="Z1341" i="26"/>
  <c r="Z1342" i="26"/>
  <c r="Y1343" i="26"/>
  <c r="Y1344" i="26"/>
  <c r="Z1343" i="26"/>
  <c r="Z1344" i="26"/>
  <c r="Y1345" i="26"/>
  <c r="Y1346" i="26"/>
  <c r="Z1345" i="26"/>
  <c r="Y1347" i="26"/>
  <c r="Z1346" i="26"/>
  <c r="Z1347" i="26"/>
  <c r="Y1348" i="26"/>
  <c r="Y1349" i="26"/>
  <c r="Z1348" i="26"/>
  <c r="Z1349" i="26"/>
  <c r="Y1350" i="26"/>
  <c r="Z1350" i="26"/>
  <c r="Y1351" i="26"/>
  <c r="Y1352" i="26"/>
  <c r="Z1351" i="26"/>
  <c r="Y1353" i="26"/>
  <c r="Z1352" i="26"/>
  <c r="Z1353" i="26"/>
  <c r="Y1354" i="26"/>
  <c r="Y1355" i="26"/>
  <c r="Z1354" i="26"/>
  <c r="Y1356" i="26"/>
  <c r="Z1355" i="26"/>
  <c r="Z1356" i="26"/>
  <c r="Y1357" i="26"/>
  <c r="Y1358" i="26"/>
  <c r="Z1357" i="26"/>
  <c r="Y1359" i="26"/>
  <c r="Z1358" i="26"/>
  <c r="Z1359" i="26"/>
  <c r="Y1360" i="26"/>
  <c r="Y1361" i="26"/>
  <c r="Z1360" i="26"/>
  <c r="Y1362" i="26"/>
  <c r="Z1361" i="26"/>
  <c r="Y1363" i="26"/>
  <c r="Z1362" i="26"/>
  <c r="Z1363" i="26"/>
  <c r="Y1364" i="26"/>
  <c r="Y1365" i="26"/>
  <c r="Z1364" i="26"/>
  <c r="Y1366" i="26"/>
  <c r="Z1365" i="26"/>
  <c r="Y1367" i="26"/>
  <c r="Z1366" i="26"/>
  <c r="Y1368" i="26"/>
  <c r="Z1367" i="26"/>
  <c r="Z1368" i="26"/>
  <c r="Y1369" i="26"/>
  <c r="Z1369" i="26"/>
  <c r="Y1370" i="26"/>
  <c r="Z1370" i="26"/>
  <c r="Y1371" i="26"/>
  <c r="Y1372" i="26"/>
  <c r="Z1371" i="26"/>
  <c r="Z1372" i="26"/>
  <c r="Y1373" i="26"/>
  <c r="Z1373" i="26"/>
  <c r="Y1374" i="26"/>
  <c r="Y1375" i="26"/>
  <c r="Z1374" i="26"/>
  <c r="Y1376" i="26"/>
  <c r="Z1375" i="26"/>
  <c r="Z1376" i="26"/>
  <c r="Y1377" i="26"/>
  <c r="Z1377" i="26"/>
  <c r="Y1378" i="26"/>
  <c r="Y1379" i="26"/>
  <c r="Z1378" i="26"/>
  <c r="Z1379" i="26"/>
  <c r="Y1380" i="26"/>
  <c r="Y1381" i="26"/>
  <c r="Z1380" i="26"/>
  <c r="Y1382" i="26"/>
  <c r="Z1381" i="26"/>
  <c r="Z1382" i="26"/>
  <c r="Y1383" i="26"/>
  <c r="Y1384" i="26"/>
  <c r="Z1383" i="26"/>
  <c r="Y1385" i="26"/>
  <c r="Z1384" i="26"/>
  <c r="Z1385" i="26"/>
  <c r="Y1386" i="26"/>
  <c r="Z1386" i="26"/>
  <c r="Y1387" i="26"/>
  <c r="Z1387" i="26"/>
  <c r="Y1388" i="26"/>
  <c r="Z1388" i="26"/>
  <c r="Y1389" i="26"/>
  <c r="Y1390" i="26"/>
  <c r="Z1389" i="26"/>
  <c r="Y1391" i="26"/>
  <c r="Z1390" i="26"/>
  <c r="Y1392" i="26"/>
  <c r="Z1391" i="26"/>
  <c r="Z1392" i="26"/>
  <c r="Y1393" i="26"/>
  <c r="Y1394" i="26"/>
  <c r="Z1393" i="26"/>
  <c r="Y1395" i="26"/>
  <c r="Z1394" i="26"/>
  <c r="Z1395" i="26"/>
  <c r="Y1396" i="26"/>
  <c r="Y1397" i="26"/>
  <c r="Z1396" i="26"/>
  <c r="Z1397" i="26"/>
  <c r="Y1398" i="26"/>
  <c r="Z1398" i="26"/>
  <c r="Y1399" i="26"/>
  <c r="Y1400" i="26"/>
  <c r="Z1399" i="26"/>
  <c r="Y1401" i="26"/>
  <c r="Z1400" i="26"/>
  <c r="Y1402" i="26"/>
  <c r="Z1401" i="26"/>
  <c r="Y1403" i="26"/>
  <c r="Z1402" i="26"/>
  <c r="Y1404" i="26"/>
  <c r="Z1403" i="26"/>
  <c r="Z1404" i="26"/>
  <c r="Y1405" i="26"/>
  <c r="Z1405" i="26"/>
  <c r="Y1406" i="26"/>
  <c r="Z1406" i="26"/>
  <c r="Y1407" i="26"/>
  <c r="Y1408" i="26"/>
  <c r="Z1407" i="26"/>
  <c r="Y1409" i="26"/>
  <c r="Z1408" i="26"/>
  <c r="Y1410" i="26"/>
  <c r="Z1409" i="26"/>
  <c r="Y1411" i="26"/>
  <c r="Z1410" i="26"/>
  <c r="Y1412" i="26"/>
  <c r="Z1411" i="26"/>
  <c r="Y1413" i="26"/>
  <c r="Z1412" i="26"/>
  <c r="Z1413" i="26"/>
  <c r="Y1414" i="26"/>
  <c r="Y1415" i="26"/>
  <c r="Z1414" i="26"/>
  <c r="Y1416" i="26"/>
  <c r="Z1415" i="26"/>
  <c r="Z1416" i="26"/>
  <c r="Y1417" i="26"/>
  <c r="Z1417" i="26"/>
  <c r="Y1418" i="26"/>
  <c r="Y1419" i="26"/>
  <c r="Z1418" i="26"/>
  <c r="Z1419" i="26"/>
  <c r="Y1420" i="26"/>
  <c r="Z1420" i="26"/>
  <c r="Y1421" i="26"/>
  <c r="Z1421" i="26"/>
  <c r="Y1422" i="26"/>
  <c r="Y1423" i="26"/>
  <c r="Z1422" i="26"/>
  <c r="Z1423" i="26"/>
  <c r="Y1424" i="26"/>
  <c r="Y1425" i="26"/>
  <c r="Z1424" i="26"/>
  <c r="Z1425" i="26"/>
  <c r="Y1426" i="26"/>
  <c r="Y1427" i="26"/>
  <c r="Z1426" i="26"/>
  <c r="Y1428" i="26"/>
  <c r="Z1427" i="26"/>
  <c r="Z1428" i="26"/>
  <c r="Y1429" i="26"/>
  <c r="Z1429" i="26"/>
  <c r="Y1430" i="26"/>
  <c r="Z1430" i="26"/>
  <c r="Y1431" i="26"/>
  <c r="Z1431" i="26"/>
  <c r="Y1432" i="26"/>
  <c r="Z1432" i="26"/>
  <c r="Y1433" i="26"/>
  <c r="Y1434" i="26"/>
  <c r="Z1433" i="26"/>
  <c r="Y1435" i="26"/>
  <c r="Z1434" i="26"/>
  <c r="Z1435" i="26"/>
  <c r="Y1436" i="26"/>
  <c r="Y1437" i="26"/>
  <c r="Z1436" i="26"/>
  <c r="Y1438" i="26"/>
  <c r="Z1437" i="26"/>
  <c r="Y1439" i="26"/>
  <c r="Z1438" i="26"/>
  <c r="Y1440" i="26"/>
  <c r="Z1439" i="26"/>
  <c r="Y1441" i="26"/>
  <c r="Z1440" i="26"/>
  <c r="Z1441" i="26"/>
  <c r="Y1442" i="26"/>
  <c r="Z1442" i="26"/>
  <c r="Y1443" i="26"/>
  <c r="Z1443" i="26"/>
  <c r="Y1444" i="26"/>
  <c r="Y1445" i="26"/>
  <c r="Z1444" i="26"/>
  <c r="Z1445" i="26"/>
  <c r="Y1446" i="26"/>
  <c r="Z1446" i="26"/>
  <c r="Y1447" i="26"/>
  <c r="Y1448" i="26"/>
  <c r="Z1447" i="26"/>
  <c r="Z1448" i="26"/>
  <c r="Y1449" i="26"/>
  <c r="Y1450" i="26"/>
  <c r="Z1449" i="26"/>
  <c r="Y1451" i="26"/>
  <c r="Z1450" i="26"/>
  <c r="Z1451" i="26"/>
  <c r="Y1452" i="26"/>
  <c r="Z1452" i="26"/>
  <c r="Y1453" i="26"/>
  <c r="Z1453" i="26"/>
  <c r="Y1454" i="26"/>
  <c r="Y1455" i="26"/>
  <c r="Z1454" i="26"/>
  <c r="Z1455" i="26"/>
  <c r="Y1456" i="26"/>
  <c r="Y1457" i="26"/>
  <c r="Z1456" i="26"/>
  <c r="Z1457" i="26"/>
  <c r="Y1458" i="26"/>
  <c r="Z1458" i="26"/>
  <c r="Y1459" i="26"/>
  <c r="Y1460" i="26"/>
  <c r="Z1459" i="26"/>
  <c r="Z1460" i="26"/>
  <c r="Y1461" i="26"/>
  <c r="Z1461" i="26"/>
  <c r="Y1462" i="26"/>
  <c r="Z1462" i="26"/>
  <c r="Y1463" i="26"/>
  <c r="Z1463" i="26"/>
  <c r="Y1464" i="26"/>
  <c r="Z1464" i="26"/>
  <c r="Y1465" i="26"/>
  <c r="Y1466" i="26"/>
  <c r="Z1465" i="26"/>
  <c r="Z1466" i="26"/>
  <c r="Y1467" i="26"/>
  <c r="Y1468" i="26"/>
  <c r="Z1467" i="26"/>
  <c r="Z1468" i="26"/>
  <c r="Y1469" i="26"/>
  <c r="Z1469" i="26"/>
  <c r="Y1470" i="26"/>
  <c r="Y1471" i="26"/>
  <c r="Z1470" i="26"/>
  <c r="Z1471" i="26"/>
  <c r="Y1472" i="26"/>
  <c r="Y1473" i="26"/>
  <c r="Z1472" i="26"/>
  <c r="Y1474" i="26"/>
  <c r="Z1473" i="26"/>
  <c r="Y1475" i="26"/>
  <c r="Z1474" i="26"/>
  <c r="Z1475" i="26"/>
  <c r="Y1476" i="26"/>
  <c r="Z1476" i="26"/>
  <c r="Y1477" i="26"/>
  <c r="Y1478" i="26"/>
  <c r="Z1477" i="26"/>
  <c r="Z1478" i="26"/>
  <c r="Y1479" i="26"/>
  <c r="Y1480" i="26"/>
  <c r="Z1479" i="26"/>
  <c r="Z1480" i="26"/>
  <c r="Y1481" i="26"/>
  <c r="Y1482" i="26"/>
  <c r="Z1481" i="26"/>
  <c r="Y1483" i="26"/>
  <c r="Z1482" i="26"/>
  <c r="Y1484" i="26"/>
  <c r="Z1483" i="26"/>
  <c r="Y1485" i="26"/>
  <c r="Z1484" i="26"/>
  <c r="Y1486" i="26"/>
  <c r="Z1485" i="26"/>
  <c r="Y1487" i="26"/>
  <c r="Z1486" i="26"/>
  <c r="Y1488" i="26"/>
  <c r="Z1487" i="26"/>
  <c r="Z1488" i="26"/>
  <c r="Y1489" i="26"/>
  <c r="Z1489" i="26"/>
  <c r="Y1490" i="26"/>
  <c r="Y1491" i="26"/>
  <c r="Z1490" i="26"/>
  <c r="Z1491" i="26"/>
  <c r="Y1492" i="26"/>
  <c r="Y1493" i="26"/>
  <c r="Z1492" i="26"/>
  <c r="Z1493" i="26"/>
  <c r="Y1494" i="26"/>
  <c r="Y1495" i="26"/>
  <c r="Z1494" i="26"/>
  <c r="Z1495" i="26"/>
  <c r="Y1496" i="26"/>
  <c r="Y1497" i="26"/>
  <c r="Z1496" i="26"/>
  <c r="Z1497" i="26"/>
  <c r="Y1498" i="26"/>
  <c r="Z1498" i="26"/>
  <c r="Y1499" i="26"/>
  <c r="Y1500" i="26"/>
  <c r="Z1499" i="26"/>
  <c r="Z1500" i="26"/>
  <c r="Y1501" i="26"/>
  <c r="Y1502" i="26"/>
  <c r="Z1501" i="26"/>
  <c r="Y1503" i="26"/>
  <c r="Z1502" i="26"/>
  <c r="Z1503" i="26"/>
  <c r="Y1504" i="26"/>
  <c r="Z1504" i="26"/>
  <c r="Y1505" i="26"/>
  <c r="Y1506" i="26"/>
  <c r="Z1505" i="26"/>
  <c r="Y1507" i="26"/>
  <c r="Z1506" i="26"/>
  <c r="Y1508" i="26"/>
  <c r="Z1507" i="26"/>
  <c r="Y1509" i="26"/>
  <c r="Z1508" i="26"/>
  <c r="Y1510" i="26"/>
  <c r="Z1509" i="26"/>
  <c r="Y1511" i="26"/>
  <c r="Z1510" i="26"/>
  <c r="Z1511" i="26"/>
  <c r="Y1512" i="26"/>
  <c r="Z1512" i="26"/>
  <c r="Y1513" i="26"/>
  <c r="Y1514" i="26"/>
  <c r="Z1513" i="26"/>
  <c r="Z1514" i="26"/>
  <c r="Y1515" i="26"/>
  <c r="Z1515" i="26"/>
  <c r="Y1516" i="26"/>
  <c r="Z1516" i="26"/>
  <c r="Y1517" i="26"/>
  <c r="Y1518" i="26"/>
  <c r="Z1517" i="26"/>
  <c r="Z1518" i="26"/>
  <c r="Y1519" i="26"/>
  <c r="Z1519" i="26"/>
  <c r="Y1520" i="26"/>
  <c r="Y1521" i="26"/>
  <c r="Z1520" i="26"/>
  <c r="Y1522" i="26"/>
  <c r="Z1521" i="26"/>
  <c r="Z1522" i="26"/>
  <c r="Y1523" i="26"/>
  <c r="Z1523" i="26"/>
  <c r="Y1524" i="26"/>
  <c r="Y1525" i="26"/>
  <c r="Z1524" i="26"/>
  <c r="Y1526" i="26"/>
  <c r="Z1525" i="26"/>
  <c r="Z1526" i="26"/>
  <c r="Y1527" i="26"/>
  <c r="Z1527" i="26"/>
  <c r="Y1528" i="26"/>
  <c r="Z1528" i="26"/>
  <c r="Y1529" i="26"/>
  <c r="Z1529" i="26"/>
  <c r="Y1530" i="26"/>
  <c r="Y1531" i="26"/>
  <c r="Z1530" i="26"/>
  <c r="Y1532" i="26"/>
  <c r="Z1531" i="26"/>
  <c r="Y1533" i="26"/>
  <c r="Z1532" i="26"/>
  <c r="Y1534" i="26"/>
  <c r="Z1533" i="26"/>
  <c r="Z1534" i="26"/>
  <c r="Y1535" i="26"/>
  <c r="Y1536" i="26"/>
  <c r="Z1535" i="26"/>
  <c r="Z1536" i="26"/>
  <c r="Y1537" i="26"/>
  <c r="Z1537" i="26"/>
  <c r="Y1538" i="26"/>
  <c r="Z1538" i="26"/>
  <c r="Y1539" i="26"/>
  <c r="Z1539" i="26"/>
  <c r="Y1540" i="26"/>
  <c r="Y1541" i="26"/>
  <c r="Z1540" i="26"/>
  <c r="Z1541" i="26"/>
  <c r="Y1542" i="26"/>
  <c r="Z1542" i="26"/>
  <c r="Y1543" i="26"/>
  <c r="Y1544" i="26"/>
  <c r="Z1543" i="26"/>
  <c r="Y1545" i="26"/>
  <c r="Z1544" i="26"/>
  <c r="Z1545" i="26"/>
  <c r="Y1546" i="26"/>
  <c r="Z1546" i="26"/>
  <c r="Y1547" i="26"/>
  <c r="Y1548" i="26"/>
  <c r="Z1547" i="26"/>
  <c r="Y1549" i="26"/>
  <c r="Z1548" i="26"/>
  <c r="Y1550" i="26"/>
  <c r="Z1549" i="26"/>
  <c r="Y1551" i="26"/>
  <c r="Z1550" i="26"/>
  <c r="Z1551" i="26"/>
  <c r="Y1552" i="26"/>
  <c r="Z1552" i="26"/>
  <c r="Y1553" i="26"/>
  <c r="Y1554" i="26"/>
  <c r="Z1553" i="26"/>
  <c r="Y1555" i="26"/>
  <c r="Z1554" i="26"/>
  <c r="Y1556" i="26"/>
  <c r="Z1555" i="26"/>
  <c r="Y1557" i="26"/>
  <c r="Z1556" i="26"/>
  <c r="Y1558" i="26"/>
  <c r="Z1557" i="26"/>
  <c r="Y1559" i="26"/>
  <c r="Z1558" i="26"/>
  <c r="Z1559" i="26"/>
  <c r="Y1560" i="26"/>
  <c r="Z1560" i="26"/>
  <c r="Y1561" i="26"/>
  <c r="Y1562" i="26"/>
  <c r="Z1561" i="26"/>
  <c r="Y1563" i="26"/>
  <c r="Z1562" i="26"/>
  <c r="Y1564" i="26"/>
  <c r="Z1563" i="26"/>
  <c r="Y1565" i="26"/>
  <c r="Z1564" i="26"/>
  <c r="Z1565" i="26"/>
  <c r="Y1566" i="26"/>
  <c r="Z1566" i="26"/>
  <c r="Y1567" i="26"/>
  <c r="Z1567" i="26"/>
  <c r="Y1568" i="26"/>
  <c r="Z1568" i="26"/>
  <c r="Y1569" i="26"/>
  <c r="Y1570" i="26"/>
  <c r="Z1569" i="26"/>
  <c r="Z1570" i="26"/>
  <c r="Y1571" i="26"/>
  <c r="Y1572" i="26"/>
  <c r="Z1571" i="26"/>
  <c r="Z1572" i="26"/>
  <c r="Y1573" i="26"/>
  <c r="Z1573" i="26"/>
  <c r="Y1574" i="26"/>
  <c r="Z1574" i="26"/>
  <c r="Y1575" i="26"/>
  <c r="Y1576" i="26"/>
  <c r="Z1575" i="26"/>
  <c r="Z1576" i="26"/>
  <c r="Y1577" i="26"/>
  <c r="Z1577" i="26"/>
  <c r="Y1578" i="26"/>
  <c r="Z1578" i="26"/>
  <c r="Y1579" i="26"/>
  <c r="Y1580" i="26"/>
  <c r="Z1579" i="26"/>
  <c r="Y1581" i="26"/>
  <c r="Z1580" i="26"/>
  <c r="Z1581" i="26"/>
  <c r="Y1582" i="26"/>
  <c r="Y1583" i="26"/>
  <c r="Z1582" i="26"/>
  <c r="Y1584" i="26"/>
  <c r="Z1583" i="26"/>
  <c r="Y1585" i="26"/>
  <c r="Z1584" i="26"/>
  <c r="Z1585" i="26"/>
  <c r="Y1586" i="26"/>
  <c r="Y1587" i="26"/>
  <c r="Z1586" i="26"/>
  <c r="Y1588" i="26"/>
  <c r="Z1587" i="26"/>
  <c r="Y1589" i="26"/>
  <c r="Z1588" i="26"/>
  <c r="Z1589" i="26"/>
  <c r="Y1590" i="26"/>
  <c r="Y1591" i="26"/>
  <c r="Z1590" i="26"/>
  <c r="Z1591" i="26"/>
  <c r="Y1592" i="26"/>
  <c r="Y1593" i="26"/>
  <c r="Z1592" i="26"/>
  <c r="Z1593" i="26"/>
  <c r="Y1594" i="26"/>
  <c r="Z1594" i="26"/>
  <c r="Y1595" i="26"/>
  <c r="Z1595" i="26"/>
  <c r="Y1596" i="26"/>
  <c r="Z1596" i="26"/>
  <c r="Y1597" i="26"/>
  <c r="Z1597" i="26"/>
  <c r="Y1598" i="26"/>
  <c r="Z1598" i="26"/>
  <c r="Y1599" i="26"/>
  <c r="Z1599" i="26"/>
  <c r="Y1600" i="26"/>
  <c r="Z1600" i="26"/>
  <c r="Y1601" i="26"/>
  <c r="Z1601" i="26"/>
  <c r="Y1602" i="26"/>
  <c r="Z1602" i="26"/>
  <c r="Y1603" i="26"/>
  <c r="Y1604" i="26"/>
  <c r="Z1603" i="26"/>
  <c r="Y1605" i="26"/>
  <c r="Z1604" i="26"/>
  <c r="Z1605" i="26"/>
  <c r="Y1606" i="26"/>
  <c r="Y1607" i="26"/>
  <c r="Z1606" i="26"/>
  <c r="Y1608" i="26"/>
  <c r="Z1607" i="26"/>
  <c r="Y1609" i="26"/>
  <c r="Z1608" i="26"/>
  <c r="Z1609" i="26"/>
  <c r="Y1610" i="26"/>
  <c r="Z1610" i="26"/>
  <c r="Y1611" i="26"/>
  <c r="Y1612" i="26"/>
  <c r="Z1611" i="26"/>
  <c r="Z1612" i="26"/>
  <c r="Y1613" i="26"/>
  <c r="Y1614" i="26"/>
  <c r="Z1613" i="26"/>
  <c r="Z1614" i="26"/>
  <c r="Y1615" i="26"/>
  <c r="Z1615" i="26"/>
  <c r="Y1616" i="26"/>
  <c r="Y1617" i="26"/>
  <c r="Z1616" i="26"/>
  <c r="Y1618" i="26"/>
  <c r="Z1617" i="26"/>
  <c r="Z1618" i="26"/>
  <c r="Y1619" i="26"/>
  <c r="Z1619" i="26"/>
  <c r="Y1620" i="26"/>
  <c r="Y1621" i="26"/>
  <c r="Z1620" i="26"/>
  <c r="Z1621" i="26"/>
  <c r="Y1622" i="26"/>
  <c r="Y1623" i="26"/>
  <c r="Z1622" i="26"/>
  <c r="Y1624" i="26"/>
  <c r="Z1623" i="26"/>
  <c r="Z1624" i="26"/>
  <c r="Y1625" i="26"/>
  <c r="Y1626" i="26"/>
  <c r="Z1625" i="26"/>
  <c r="Z1626" i="26"/>
  <c r="Y1627" i="26"/>
  <c r="Z1627" i="26"/>
  <c r="Y1628" i="26"/>
  <c r="Z1628" i="26"/>
  <c r="Y1629" i="26"/>
  <c r="Z1629" i="26"/>
  <c r="Y1630" i="26"/>
  <c r="Z1630" i="26"/>
  <c r="Y1631" i="26"/>
  <c r="Z1631" i="26"/>
  <c r="Y1632" i="26"/>
  <c r="Z1632" i="26"/>
  <c r="Y1633" i="26"/>
  <c r="Y1634" i="26"/>
  <c r="Z1633" i="26"/>
  <c r="Y1635" i="26"/>
  <c r="Z1634" i="26"/>
  <c r="Z1635" i="26"/>
  <c r="Y1636" i="26"/>
  <c r="Z1636" i="26"/>
  <c r="Y1637" i="26"/>
  <c r="Z1637" i="26"/>
  <c r="Y1638" i="26"/>
  <c r="Z1638" i="26"/>
  <c r="Y1639" i="26"/>
  <c r="Y1640" i="26"/>
  <c r="Z1639" i="26"/>
  <c r="Y1641" i="26"/>
  <c r="Z1640" i="26"/>
  <c r="Z1641" i="26"/>
  <c r="Y1642" i="26"/>
  <c r="Y1643" i="26"/>
  <c r="Z1642" i="26"/>
  <c r="Z1643" i="26"/>
  <c r="Y1644" i="26"/>
  <c r="Z1644" i="26"/>
  <c r="Y1645" i="26"/>
  <c r="Y1646" i="26"/>
  <c r="Z1645" i="26"/>
  <c r="Z1646" i="26"/>
  <c r="Y1647" i="26"/>
  <c r="Z1647" i="26"/>
  <c r="Y1648" i="26"/>
  <c r="Y1649" i="26"/>
  <c r="Z1648" i="26"/>
  <c r="Z1649" i="26"/>
  <c r="Y1650" i="26"/>
  <c r="Y1651" i="26"/>
  <c r="Z1650" i="26"/>
  <c r="Y1652" i="26"/>
  <c r="Z1651" i="26"/>
  <c r="Z1652" i="26"/>
  <c r="Y1653" i="26"/>
  <c r="Z1653" i="26"/>
  <c r="Y1654" i="26"/>
  <c r="Z1654" i="26"/>
  <c r="Y1655" i="26"/>
  <c r="Z1655" i="26"/>
  <c r="Y1656" i="26"/>
  <c r="Z1656" i="26"/>
  <c r="Y1657" i="26"/>
  <c r="Z1657" i="26"/>
  <c r="Y1658" i="26"/>
  <c r="Y1659" i="26"/>
  <c r="Z1658" i="26"/>
  <c r="Z1659" i="26"/>
  <c r="Y1660" i="26"/>
  <c r="Y1661" i="26"/>
  <c r="Z1660" i="26"/>
  <c r="Z1661" i="26"/>
  <c r="Y1662" i="26"/>
  <c r="Z1662" i="26"/>
  <c r="Y1663" i="26"/>
  <c r="Z1663" i="26"/>
  <c r="Y1664" i="26"/>
  <c r="Y1665" i="26"/>
  <c r="Z1664" i="26"/>
  <c r="Y1666" i="26"/>
  <c r="Z1665" i="26"/>
  <c r="Z1666" i="26"/>
  <c r="Y1667" i="26"/>
  <c r="Z1667" i="26"/>
  <c r="Y1668" i="26"/>
  <c r="Y1669" i="26"/>
  <c r="Z1668" i="26"/>
  <c r="Z1669" i="26"/>
  <c r="Y1670" i="26"/>
  <c r="Z1670" i="26"/>
  <c r="Y1671" i="26"/>
  <c r="Z1671" i="26"/>
  <c r="Y1672" i="26"/>
  <c r="Z1672" i="26"/>
  <c r="Y1673" i="26"/>
  <c r="Y1674" i="26"/>
  <c r="Z1673" i="26"/>
  <c r="Y1675" i="26"/>
  <c r="Z1674" i="26"/>
  <c r="Z1675" i="26"/>
  <c r="Y1676" i="26"/>
  <c r="Z1676" i="26"/>
  <c r="Y1677" i="26"/>
  <c r="Z1677" i="26"/>
  <c r="Y1678" i="26"/>
  <c r="Y1679" i="26"/>
  <c r="Z1678" i="26"/>
  <c r="Y1680" i="26"/>
  <c r="Z1679" i="26"/>
  <c r="Y1681" i="26"/>
  <c r="Z1680" i="26"/>
  <c r="Z1681" i="26"/>
  <c r="Y1682" i="26"/>
  <c r="Y1683" i="26"/>
  <c r="Z1682" i="26"/>
  <c r="Y1684" i="26"/>
  <c r="Z1683" i="26"/>
  <c r="Z1684" i="26"/>
  <c r="Y1685" i="26"/>
  <c r="Y1686" i="26"/>
  <c r="Z1685" i="26"/>
  <c r="Y1687" i="26"/>
  <c r="Z1686" i="26"/>
  <c r="Z1687" i="26"/>
  <c r="Y1688" i="26"/>
  <c r="Z1688" i="26"/>
  <c r="Y1689" i="26"/>
  <c r="Z1689" i="26"/>
  <c r="Y1690" i="26"/>
  <c r="Z1690" i="26"/>
  <c r="Y1691" i="26"/>
  <c r="Z1691" i="26"/>
  <c r="Y1692" i="26"/>
  <c r="Z1692" i="26"/>
  <c r="Y1693" i="26"/>
  <c r="Y1694" i="26"/>
  <c r="Z1693" i="26"/>
  <c r="Y1695" i="26"/>
  <c r="Z1694" i="26"/>
  <c r="Z1695" i="26"/>
  <c r="Y1696" i="26"/>
  <c r="Y1697" i="26"/>
  <c r="Z1696" i="26"/>
  <c r="Z1697" i="26"/>
  <c r="Y1698" i="26"/>
  <c r="Z1698" i="26"/>
  <c r="Y1699" i="26"/>
  <c r="Y1700" i="26"/>
  <c r="Z1699" i="26"/>
  <c r="Z1700" i="26"/>
  <c r="Y1701" i="26"/>
  <c r="Z1701" i="26"/>
  <c r="Y1702" i="26"/>
  <c r="Z1702" i="26"/>
  <c r="Y1703" i="26"/>
  <c r="Z1703" i="26"/>
  <c r="Y1704" i="26"/>
  <c r="Y1705" i="26"/>
  <c r="Z1704" i="26"/>
  <c r="Z1705" i="26"/>
  <c r="Y1706" i="26"/>
  <c r="Z1706" i="26"/>
  <c r="Y1707" i="26"/>
  <c r="Y1708" i="26"/>
  <c r="Z1707" i="26"/>
  <c r="Z1708" i="26"/>
  <c r="Y1709" i="26"/>
  <c r="Z1709" i="26"/>
  <c r="Y1710" i="26"/>
  <c r="Y1711" i="26"/>
  <c r="Z1710" i="26"/>
  <c r="Z1711" i="26"/>
  <c r="Y1712" i="26"/>
  <c r="Y1713" i="26"/>
  <c r="Z1712" i="26"/>
  <c r="Y1714" i="26"/>
  <c r="Z1713" i="26"/>
  <c r="Y1715" i="26"/>
  <c r="Z1714" i="26"/>
  <c r="Z1715" i="26"/>
  <c r="Y1716" i="26"/>
  <c r="Z1716" i="26"/>
  <c r="Y1717" i="26"/>
  <c r="Y1718" i="26"/>
  <c r="Z1717" i="26"/>
  <c r="Z1718" i="26"/>
  <c r="Y1719" i="26"/>
  <c r="Y1720" i="26"/>
  <c r="Z1719" i="26"/>
  <c r="Z1720" i="26"/>
  <c r="Y1721" i="26"/>
  <c r="Y1722" i="26"/>
  <c r="Z1721" i="26"/>
  <c r="Z1722" i="26"/>
  <c r="Y1723" i="26"/>
  <c r="Z1723" i="26"/>
  <c r="Y1724" i="26"/>
  <c r="Y1725" i="26"/>
  <c r="Z1724" i="26"/>
  <c r="Y1726" i="26"/>
  <c r="Z1725" i="26"/>
  <c r="Z1726" i="26"/>
  <c r="Y1727" i="26"/>
  <c r="Y1728" i="26"/>
  <c r="Z1727" i="26"/>
  <c r="Z1728" i="26"/>
  <c r="Y1729" i="26"/>
  <c r="Z1729" i="26"/>
  <c r="Y1730" i="26"/>
  <c r="Y1731" i="26"/>
  <c r="Z1730" i="26"/>
  <c r="Y1732" i="26"/>
  <c r="Z1731" i="26"/>
  <c r="Z1732" i="26"/>
  <c r="Y1733" i="26"/>
  <c r="Z1733" i="26"/>
  <c r="Y1734" i="26"/>
  <c r="Z1734" i="26"/>
  <c r="Y1735" i="26"/>
  <c r="Z1735" i="26"/>
  <c r="Y1736" i="26"/>
  <c r="Y1737" i="26"/>
  <c r="Z1736" i="26"/>
  <c r="Y1738" i="26"/>
  <c r="Z1737" i="26"/>
  <c r="Y1739" i="26"/>
  <c r="Z1738" i="26"/>
  <c r="Z1739" i="26"/>
  <c r="Y1740" i="26"/>
  <c r="Y1741" i="26"/>
  <c r="Z1740" i="26"/>
  <c r="Z1741" i="26"/>
  <c r="Y1742" i="26"/>
  <c r="Z1742" i="26"/>
  <c r="Y1743" i="26"/>
  <c r="Y1744" i="26"/>
  <c r="Z1743" i="26"/>
  <c r="Y1745" i="26"/>
  <c r="Z1744" i="26"/>
  <c r="Y1746" i="26"/>
  <c r="Z1745" i="26"/>
  <c r="Y1747" i="26"/>
  <c r="Z1746" i="26"/>
  <c r="Y1748" i="26"/>
  <c r="Z1747" i="26"/>
  <c r="Y1749" i="26"/>
  <c r="Z1748" i="26"/>
  <c r="Y1750" i="26"/>
  <c r="Z1749" i="26"/>
  <c r="Z1750" i="26"/>
  <c r="Y1751" i="26"/>
  <c r="Y1752" i="26"/>
  <c r="Z1751" i="26"/>
  <c r="Z1752" i="26"/>
  <c r="Y1753" i="26"/>
  <c r="Z1753" i="26"/>
  <c r="Y1754" i="26"/>
  <c r="Y1755" i="26"/>
  <c r="Z1754" i="26"/>
  <c r="Y1756" i="26"/>
  <c r="Z1755" i="26"/>
  <c r="Y1757" i="26"/>
  <c r="Z1756" i="26"/>
  <c r="Z1757" i="26"/>
  <c r="Y1758" i="26"/>
  <c r="Z1758" i="26"/>
  <c r="Y1759" i="26"/>
  <c r="Y1760" i="26"/>
  <c r="Z1759" i="26"/>
  <c r="Z1760" i="26"/>
  <c r="Y1761" i="26"/>
  <c r="Z1761" i="26"/>
  <c r="Y1762" i="26"/>
  <c r="Z1762" i="26"/>
  <c r="Y1763" i="26"/>
  <c r="Y1764" i="26"/>
  <c r="Z1763" i="26"/>
  <c r="Z1764" i="26"/>
  <c r="Y1765" i="26"/>
  <c r="Z1765" i="26"/>
  <c r="Y1766" i="26"/>
  <c r="Z1766" i="26"/>
  <c r="Y1767" i="26"/>
  <c r="Y1768" i="26"/>
  <c r="Z1767" i="26"/>
  <c r="Y1769" i="26"/>
  <c r="Z1768" i="26"/>
  <c r="Y1770" i="26"/>
  <c r="Z1769" i="26"/>
  <c r="Z1770" i="26"/>
  <c r="Y1771" i="26"/>
  <c r="Z1771" i="26"/>
  <c r="Y1772" i="26"/>
  <c r="Y1773" i="26"/>
  <c r="Z1772" i="26"/>
  <c r="Y1774" i="26"/>
  <c r="Z1773" i="26"/>
  <c r="Z1774" i="26"/>
  <c r="Y1775" i="26"/>
  <c r="Z1775" i="26"/>
  <c r="Y1776" i="26"/>
  <c r="Z1776" i="26"/>
  <c r="Y1777" i="26"/>
  <c r="Y1778" i="26"/>
  <c r="Z1777" i="26"/>
  <c r="Y1779" i="26"/>
  <c r="Z1778" i="26"/>
  <c r="Y1780" i="26"/>
  <c r="Z1779" i="26"/>
  <c r="Z1780" i="26"/>
  <c r="Y1781" i="26"/>
  <c r="Z1781" i="26"/>
  <c r="Y1782" i="26"/>
  <c r="Y1783" i="26"/>
  <c r="Z1782" i="26"/>
  <c r="Y1784" i="26"/>
  <c r="Z1783" i="26"/>
  <c r="Z1784" i="26"/>
  <c r="Y1785" i="26"/>
  <c r="Y1786" i="26"/>
  <c r="Z1785" i="26"/>
  <c r="Z1786" i="26"/>
  <c r="Y1787" i="26"/>
  <c r="Y1788" i="26"/>
  <c r="Z1787" i="26"/>
  <c r="Z1788" i="26"/>
  <c r="Y1789" i="26"/>
  <c r="Y1790" i="26"/>
  <c r="Z1789" i="26"/>
  <c r="Z1790" i="26"/>
  <c r="Y1791" i="26"/>
  <c r="Y1792" i="26"/>
  <c r="Z1791" i="26"/>
  <c r="Z1792" i="26"/>
  <c r="Y1793" i="26"/>
  <c r="Z1793" i="26"/>
  <c r="Y1794" i="26"/>
  <c r="Z1794" i="26"/>
  <c r="Y1795" i="26"/>
  <c r="Y1796" i="26"/>
  <c r="Z1795" i="26"/>
  <c r="Y1797" i="26"/>
  <c r="Z1796" i="26"/>
  <c r="Z1797" i="26"/>
  <c r="Y1798" i="26"/>
  <c r="Y1799" i="26"/>
  <c r="Z1798" i="26"/>
  <c r="Z1799" i="26"/>
  <c r="Y1800" i="26"/>
  <c r="Z1800" i="26"/>
  <c r="Y1801" i="26"/>
  <c r="Z1801" i="26"/>
  <c r="Y1802" i="26"/>
  <c r="Y1803" i="26"/>
  <c r="Z1802" i="26"/>
  <c r="Y1804" i="26"/>
  <c r="Z1803" i="26"/>
  <c r="Y1805" i="26"/>
  <c r="Z1804" i="26"/>
  <c r="Y1806" i="26"/>
  <c r="Z1805" i="26"/>
  <c r="Z1806" i="26"/>
  <c r="Y1807" i="26"/>
  <c r="Z1807" i="26"/>
  <c r="Y1808" i="26"/>
  <c r="Y1809" i="26"/>
  <c r="Z1808" i="26"/>
  <c r="Y1810" i="26"/>
  <c r="Z1809" i="26"/>
  <c r="Z1810" i="26"/>
  <c r="Y1811" i="26"/>
  <c r="Y1812" i="26"/>
  <c r="Z1811" i="26"/>
  <c r="Z1812" i="26"/>
  <c r="Y1813" i="26"/>
  <c r="Z1813" i="26"/>
  <c r="Y1814" i="26"/>
  <c r="Y1815" i="26"/>
  <c r="Z1814" i="26"/>
  <c r="Z1815" i="26"/>
  <c r="Y1816" i="26"/>
  <c r="Z1816" i="26"/>
  <c r="Y1817" i="26"/>
  <c r="Y1818" i="26"/>
  <c r="Z1817" i="26"/>
  <c r="Y1819" i="26"/>
  <c r="Z1818" i="26"/>
  <c r="Y1820" i="26"/>
  <c r="Z1819" i="26"/>
  <c r="Y1821" i="26"/>
  <c r="Z1820" i="26"/>
  <c r="Y1822" i="26"/>
  <c r="Z1821" i="26"/>
  <c r="Z1822" i="26"/>
  <c r="Y1823" i="26"/>
  <c r="Z1823" i="26"/>
  <c r="Y1824" i="26"/>
  <c r="Z1824" i="26"/>
  <c r="Y1825" i="26"/>
  <c r="Y1826" i="26"/>
  <c r="Z1825" i="26"/>
  <c r="Y1827" i="26"/>
  <c r="Z1826" i="26"/>
  <c r="Z1827" i="26"/>
  <c r="Y1828" i="26"/>
  <c r="Y1829" i="26"/>
  <c r="Z1828" i="26"/>
  <c r="Z1829" i="26"/>
  <c r="Y1830" i="26"/>
  <c r="Y1831" i="26"/>
  <c r="Z1830" i="26"/>
  <c r="Z1831" i="26"/>
  <c r="Y1832" i="26"/>
  <c r="Z1832" i="26"/>
  <c r="Y1833" i="26"/>
  <c r="Y1834" i="26"/>
  <c r="Z1833" i="26"/>
  <c r="Z1834" i="26"/>
  <c r="Y1835" i="26"/>
  <c r="Z1835" i="26"/>
  <c r="Y1836" i="26"/>
  <c r="Y1837" i="26"/>
  <c r="Z1836" i="26"/>
  <c r="Y1838" i="26"/>
  <c r="Z1837" i="26"/>
  <c r="Z1838" i="26"/>
  <c r="Y1839" i="26"/>
  <c r="Y1840" i="26"/>
  <c r="Z1839" i="26"/>
  <c r="Z1840" i="26"/>
  <c r="Y1841" i="26"/>
  <c r="Z1841" i="26"/>
  <c r="Y1842" i="26"/>
  <c r="Y1843" i="26"/>
  <c r="Z1842" i="26"/>
  <c r="Y1844" i="26"/>
  <c r="Z1843" i="26"/>
  <c r="Y1845" i="26"/>
  <c r="Z1844" i="26"/>
  <c r="Z1845" i="26"/>
  <c r="Y1846" i="26"/>
  <c r="Y1847" i="26"/>
  <c r="Z1846" i="26"/>
  <c r="Y1848" i="26"/>
  <c r="Z1847" i="26"/>
  <c r="Y1849" i="26"/>
  <c r="Z1848" i="26"/>
  <c r="Z1849" i="26"/>
  <c r="Y1850" i="26"/>
  <c r="Z1850" i="26"/>
  <c r="Y1851" i="26"/>
  <c r="Z1851" i="26"/>
  <c r="Y1852" i="26"/>
  <c r="Z1852" i="26"/>
  <c r="Y1853" i="26"/>
  <c r="Z1853" i="26"/>
  <c r="Y1854" i="26"/>
  <c r="Z1854" i="26"/>
  <c r="Y1855" i="26"/>
  <c r="Z1855" i="26"/>
  <c r="Y1856" i="26"/>
  <c r="Y1857" i="26"/>
  <c r="Z1856" i="26"/>
  <c r="Z1857" i="26"/>
  <c r="Y1858" i="26"/>
  <c r="Z1858" i="26"/>
  <c r="Y1859" i="26"/>
  <c r="Z1859" i="26"/>
  <c r="Y1860" i="26"/>
  <c r="Z1860" i="26"/>
  <c r="Y1861" i="26"/>
  <c r="Z1861" i="26"/>
  <c r="Y1862" i="26"/>
  <c r="Z1862" i="26"/>
  <c r="Y1863" i="26"/>
  <c r="Z1863" i="26"/>
  <c r="Y1864" i="26"/>
  <c r="Z1864" i="26"/>
  <c r="Y1865" i="26"/>
  <c r="Z1865" i="26"/>
  <c r="Y1866" i="26"/>
  <c r="Y1867" i="26"/>
  <c r="Z1866" i="26"/>
  <c r="Y1868" i="26"/>
  <c r="Z1867" i="26"/>
  <c r="Y1869" i="26"/>
  <c r="Z1868" i="26"/>
  <c r="Y1870" i="26"/>
  <c r="Z1869" i="26"/>
  <c r="Y1871" i="26"/>
  <c r="Z1870" i="26"/>
  <c r="Z1871" i="26"/>
  <c r="Y1872" i="26"/>
  <c r="Y1873" i="26"/>
  <c r="Z1872" i="26"/>
  <c r="Z1873" i="26"/>
  <c r="Y1874" i="26"/>
  <c r="Z1874" i="26"/>
  <c r="Y1875" i="26"/>
  <c r="Z1875" i="26"/>
  <c r="Y1876" i="26"/>
  <c r="Y1877" i="26"/>
  <c r="Z1876" i="26"/>
  <c r="Z1877" i="26"/>
  <c r="Y1878" i="26"/>
  <c r="Y1879" i="26"/>
  <c r="Z1878" i="26"/>
  <c r="Y1880" i="26"/>
  <c r="Z1879" i="26"/>
  <c r="Y1881" i="26"/>
  <c r="Z1880" i="26"/>
  <c r="Y1882" i="26"/>
  <c r="Z1881" i="26"/>
  <c r="Y1883" i="26"/>
  <c r="Z1882" i="26"/>
  <c r="Y1884" i="26"/>
  <c r="Z1883" i="26"/>
  <c r="Y1885" i="26"/>
  <c r="Z1884" i="26"/>
  <c r="Z1885" i="26"/>
  <c r="Y1886" i="26"/>
  <c r="Z1886" i="26"/>
  <c r="Y1887" i="26"/>
  <c r="Z1887" i="26"/>
  <c r="Y1888" i="26"/>
  <c r="Z1888" i="26"/>
  <c r="Y1889" i="26"/>
  <c r="Z1889" i="26"/>
  <c r="Y1890" i="26"/>
  <c r="Y1891" i="26"/>
  <c r="Z1890" i="26"/>
  <c r="Z1891" i="26"/>
  <c r="Y1892" i="26"/>
  <c r="Z1892" i="26"/>
  <c r="Y1893" i="26"/>
  <c r="Y1894" i="26"/>
  <c r="Z1893" i="26"/>
  <c r="Z1894" i="26"/>
  <c r="Y1895" i="26"/>
  <c r="Z1895" i="26"/>
  <c r="Y1896" i="26"/>
  <c r="Y1897" i="26"/>
  <c r="Z1896" i="26"/>
  <c r="Z1897" i="26"/>
  <c r="Y1898" i="26"/>
  <c r="Y1899" i="26"/>
  <c r="Z1898" i="26"/>
  <c r="Z1899" i="26"/>
  <c r="Y1900" i="26"/>
  <c r="Y1901" i="26"/>
  <c r="Z1900" i="26"/>
  <c r="Z1901" i="26"/>
  <c r="Y1902" i="26"/>
  <c r="Z1902" i="26"/>
  <c r="Y1903" i="26"/>
  <c r="Z1903" i="26"/>
  <c r="Y1904" i="26"/>
  <c r="Z1904" i="26"/>
  <c r="Y1905" i="26"/>
  <c r="Y1906" i="26"/>
  <c r="Z1905" i="26"/>
  <c r="Z1906" i="26"/>
  <c r="Y1907" i="26"/>
  <c r="Z1907" i="26"/>
  <c r="Y1908" i="26"/>
  <c r="Y1909" i="26"/>
  <c r="Z1908" i="26"/>
  <c r="Z1909" i="26"/>
  <c r="Y1910" i="26"/>
  <c r="Y1911" i="26"/>
  <c r="Z1910" i="26"/>
  <c r="Y1912" i="26"/>
  <c r="Z1911" i="26"/>
  <c r="Z1912" i="26"/>
  <c r="Y1913" i="26"/>
  <c r="Y1914" i="26"/>
  <c r="Z1913" i="26"/>
  <c r="Y1915" i="26"/>
  <c r="Z1914" i="26"/>
  <c r="Z1915" i="26"/>
  <c r="Y1916" i="26"/>
  <c r="Z1916" i="26"/>
  <c r="Y1917" i="26"/>
  <c r="Z1917" i="26"/>
  <c r="Y1918" i="26"/>
  <c r="Z1918" i="26"/>
  <c r="Y1919" i="26"/>
  <c r="Z1919" i="26"/>
  <c r="Y1920" i="26"/>
  <c r="Z1920" i="26"/>
  <c r="Y1921" i="26"/>
  <c r="Y1922" i="26"/>
  <c r="Z1921" i="26"/>
  <c r="Y1923" i="26"/>
  <c r="Z1922" i="26"/>
  <c r="Z1923" i="26"/>
  <c r="Y1924" i="26"/>
  <c r="Z1924" i="26"/>
  <c r="Y1925" i="26"/>
  <c r="Z1925" i="26"/>
  <c r="Y1926" i="26"/>
  <c r="Z1926" i="26"/>
  <c r="Y1927" i="26"/>
  <c r="Y1928" i="26"/>
  <c r="Z1927" i="26"/>
  <c r="Y1929" i="26"/>
  <c r="Z1928" i="26"/>
  <c r="Z1929" i="26"/>
  <c r="Y1930" i="26"/>
  <c r="Z1930" i="26"/>
  <c r="Y1931" i="26"/>
  <c r="Z1931" i="26"/>
  <c r="Y1932" i="26"/>
  <c r="Z1932" i="26"/>
  <c r="Y1933" i="26"/>
  <c r="Y1934" i="26"/>
  <c r="Z1933" i="26"/>
  <c r="Z1934" i="26"/>
  <c r="Y1935" i="26"/>
  <c r="Y1936" i="26"/>
  <c r="Z1935" i="26"/>
  <c r="Y1937" i="26"/>
  <c r="Z1936" i="26"/>
  <c r="Z1937" i="26"/>
  <c r="Y1938" i="26"/>
  <c r="Y1939" i="26"/>
  <c r="Z1938" i="26"/>
  <c r="Y1940" i="26"/>
  <c r="Z1939" i="26"/>
  <c r="Z1940" i="26"/>
  <c r="Y1941" i="26"/>
  <c r="Y1942" i="26"/>
  <c r="Z1941" i="26"/>
  <c r="Z1942" i="26"/>
  <c r="Y1943" i="26"/>
  <c r="Z1943" i="26"/>
  <c r="Y1944" i="26"/>
  <c r="Z1944" i="26"/>
  <c r="Y1945" i="26"/>
  <c r="Y1946" i="26"/>
  <c r="Z1945" i="26"/>
  <c r="Z1946" i="26"/>
  <c r="Y1947" i="26"/>
  <c r="Z1947" i="26"/>
  <c r="Y1948" i="26"/>
  <c r="Y1949" i="26"/>
  <c r="Z1948" i="26"/>
  <c r="Z1949" i="26"/>
  <c r="Y1950" i="26"/>
  <c r="Y1951" i="26"/>
  <c r="Z1950" i="26"/>
  <c r="Y1952" i="26"/>
  <c r="Z1951" i="26"/>
  <c r="Z1952" i="26"/>
  <c r="Y1953" i="26"/>
  <c r="Z1953" i="26"/>
  <c r="Y1954" i="26"/>
  <c r="Z1954" i="26"/>
  <c r="Y1955" i="26"/>
  <c r="Z1955" i="26"/>
  <c r="Y1956" i="26"/>
  <c r="Z1956" i="26"/>
  <c r="Y1957" i="26"/>
  <c r="Z1957" i="26"/>
  <c r="Y1958" i="26"/>
  <c r="Y1959" i="26"/>
  <c r="Z1958" i="26"/>
  <c r="Y1960" i="26"/>
  <c r="Z1959" i="26"/>
  <c r="Y1961" i="26"/>
  <c r="Z1960" i="26"/>
  <c r="Z1961" i="26"/>
  <c r="Y1962" i="26"/>
  <c r="Y1963" i="26"/>
  <c r="Z1962" i="26"/>
  <c r="Z1963" i="26"/>
  <c r="Y1964" i="26"/>
  <c r="Z1964" i="26"/>
  <c r="Y1965" i="26"/>
  <c r="Z1965" i="26"/>
  <c r="Y1966" i="26"/>
  <c r="Z1966" i="26"/>
  <c r="Y1967" i="26"/>
  <c r="Y1968" i="26"/>
  <c r="Z1967" i="26"/>
  <c r="Z1968" i="26"/>
  <c r="Y1969" i="26"/>
  <c r="Z1969" i="26"/>
  <c r="Y1970" i="26"/>
  <c r="Y1971" i="26"/>
  <c r="Z1970" i="26"/>
  <c r="Y1972" i="26"/>
  <c r="Z1971" i="26"/>
  <c r="Y1973" i="26"/>
  <c r="Z1972" i="26"/>
  <c r="Y1974" i="26"/>
  <c r="Z1973" i="26"/>
  <c r="Y1975" i="26"/>
  <c r="Z1974" i="26"/>
  <c r="Z1975" i="26"/>
  <c r="Y1976" i="26"/>
  <c r="Z1976" i="26"/>
  <c r="Y1977" i="26"/>
  <c r="Y1978" i="26"/>
  <c r="Z1977" i="26"/>
  <c r="Z1978" i="26"/>
  <c r="Y1979" i="26"/>
  <c r="Z1979" i="26"/>
  <c r="Y1980" i="26"/>
  <c r="Z1980" i="26"/>
  <c r="Y1981" i="26"/>
  <c r="Y1982" i="26"/>
  <c r="Z1981" i="26"/>
  <c r="Y1983" i="26"/>
  <c r="Z1982" i="26"/>
  <c r="Y1984" i="26"/>
  <c r="Z1983" i="26"/>
  <c r="Y1985" i="26"/>
  <c r="Z1984" i="26"/>
  <c r="Z1985" i="26"/>
  <c r="Y1986" i="26"/>
  <c r="Z1986" i="26"/>
  <c r="Y1987" i="26"/>
  <c r="Y1988" i="26"/>
  <c r="Z1987" i="26"/>
  <c r="Y1989" i="26"/>
  <c r="Z1988" i="26"/>
  <c r="Y1990" i="26"/>
  <c r="Z1989" i="26"/>
  <c r="Y1991" i="26"/>
  <c r="Z1990" i="26"/>
  <c r="Y1992" i="26"/>
  <c r="Z1991" i="26"/>
  <c r="Z1992" i="26"/>
  <c r="Y1993" i="26"/>
  <c r="Z1993" i="26"/>
  <c r="Y1994" i="26"/>
  <c r="Z1994" i="26"/>
  <c r="Y1995" i="26"/>
  <c r="Y1996" i="26"/>
  <c r="Z1995" i="26"/>
  <c r="Y1997" i="26"/>
  <c r="Z1996" i="26"/>
  <c r="Z1997" i="26"/>
  <c r="Y1998" i="26"/>
  <c r="Y1999" i="26"/>
  <c r="Z1998" i="26"/>
  <c r="Y2000" i="26"/>
  <c r="Z1999" i="26"/>
  <c r="Z2000" i="26"/>
  <c r="Y2001" i="26"/>
  <c r="Y2002" i="26"/>
  <c r="Z2001" i="26"/>
  <c r="Y2003" i="26"/>
  <c r="Z2002" i="26"/>
  <c r="Z2003" i="26"/>
  <c r="Y2004" i="26"/>
  <c r="Z2004" i="26"/>
  <c r="Y2005" i="26"/>
  <c r="Z2005" i="26"/>
  <c r="Y2006" i="26"/>
  <c r="Y2007" i="26"/>
  <c r="Z2006" i="26"/>
  <c r="Y2008" i="26"/>
  <c r="Z2007" i="26"/>
  <c r="Y2009" i="26"/>
  <c r="Z2008" i="26"/>
  <c r="Y2010" i="26"/>
  <c r="Z2009" i="26"/>
  <c r="Y2011" i="26"/>
  <c r="Z2010" i="26"/>
  <c r="Z2011" i="26"/>
  <c r="Y2012" i="26"/>
  <c r="Y2013" i="26"/>
  <c r="Z2012" i="26"/>
  <c r="Z2013" i="26"/>
  <c r="Y2014" i="26"/>
  <c r="Y2015" i="26"/>
  <c r="Z2014" i="26"/>
  <c r="Y2016" i="26"/>
  <c r="Z2015" i="26"/>
  <c r="Z2016" i="26"/>
  <c r="Y2017" i="26"/>
  <c r="Z2017" i="26"/>
  <c r="Y2018" i="26"/>
  <c r="Y2019" i="26"/>
  <c r="Z2018" i="26"/>
  <c r="Z2019" i="26"/>
  <c r="Y2020" i="26"/>
  <c r="Y2021" i="26"/>
  <c r="Z2020" i="26"/>
  <c r="Z2021" i="26"/>
  <c r="Y2022" i="26"/>
  <c r="Y2023" i="26"/>
  <c r="Z2022" i="26"/>
  <c r="Z2023" i="26"/>
  <c r="Y2024" i="26"/>
  <c r="Y2025" i="26"/>
  <c r="Z2024" i="26"/>
  <c r="Z2025" i="26"/>
  <c r="Y2026" i="26"/>
  <c r="Z2026" i="26"/>
  <c r="Y2027" i="26"/>
  <c r="Z2027" i="26"/>
  <c r="Y2028" i="26"/>
  <c r="Z2028" i="26"/>
  <c r="Y2029" i="26"/>
  <c r="Y2030" i="26"/>
  <c r="Z2029" i="26"/>
  <c r="Z2030" i="26"/>
  <c r="Y2031" i="26"/>
  <c r="Z2031" i="26"/>
  <c r="Y2032" i="26"/>
  <c r="Z2032" i="26"/>
  <c r="Y2033" i="26"/>
  <c r="Y2034" i="26"/>
  <c r="Z2033" i="26"/>
  <c r="Z2034" i="26"/>
  <c r="Y2035" i="26"/>
  <c r="Y2036" i="26"/>
  <c r="Z2035" i="26"/>
  <c r="Y2037" i="26"/>
  <c r="Z2036" i="26"/>
  <c r="Z2037" i="26"/>
  <c r="Y2038" i="26"/>
  <c r="Z2038" i="26"/>
  <c r="Y2039" i="26"/>
  <c r="Z2039" i="26"/>
  <c r="Y2040" i="26"/>
  <c r="Z2040" i="26"/>
  <c r="Y2041" i="26"/>
  <c r="Z2041" i="26"/>
  <c r="Y2042" i="26"/>
  <c r="Y2043" i="26"/>
  <c r="Z2042" i="26"/>
  <c r="Z2043" i="26"/>
  <c r="Y2044" i="26"/>
  <c r="Z2044" i="26"/>
  <c r="Y2045" i="26"/>
  <c r="Y2046" i="26"/>
  <c r="Z2045" i="26"/>
  <c r="Y2047" i="26"/>
  <c r="Z2046" i="26"/>
  <c r="Z2047" i="26"/>
  <c r="Y2048" i="26"/>
  <c r="Y2049" i="26"/>
  <c r="Z2048" i="26"/>
  <c r="Y2050" i="26"/>
  <c r="Z2049" i="26"/>
  <c r="Y2051" i="26"/>
  <c r="Z2050" i="26"/>
  <c r="Y2052" i="26"/>
  <c r="Z2051" i="26"/>
  <c r="Z2052" i="26"/>
  <c r="Y2053" i="26"/>
  <c r="Y2054" i="26"/>
  <c r="Z2053" i="26"/>
  <c r="Y2055" i="26"/>
  <c r="Z2054" i="26"/>
  <c r="Z2055" i="26"/>
  <c r="Y2056" i="26"/>
  <c r="Z2056" i="26"/>
  <c r="Y2057" i="26"/>
  <c r="Y2058" i="26"/>
  <c r="Z2057" i="26"/>
  <c r="Y2059" i="26"/>
  <c r="Z2058" i="26"/>
  <c r="Z2059" i="26"/>
  <c r="Y2060" i="26"/>
  <c r="Z2060" i="26"/>
  <c r="Y2061" i="26"/>
  <c r="Z2061" i="26"/>
  <c r="Y2062" i="26"/>
  <c r="Z2062" i="26"/>
  <c r="Y2063" i="26"/>
  <c r="Y2064" i="26"/>
  <c r="Z2063" i="26"/>
  <c r="Y2065" i="26"/>
  <c r="Z2064" i="26"/>
  <c r="Y2066" i="26"/>
  <c r="Z2065" i="26"/>
  <c r="Z2066" i="26"/>
  <c r="Y2067" i="26"/>
  <c r="Y2068" i="26"/>
  <c r="Z2067" i="26"/>
  <c r="Y2069" i="26"/>
  <c r="Z2068" i="26"/>
  <c r="Y2070" i="26"/>
  <c r="Z2069" i="26"/>
  <c r="Y2071" i="26"/>
  <c r="Z2070" i="26"/>
  <c r="Z2071" i="26"/>
  <c r="Y2072" i="26"/>
  <c r="Z2072" i="26"/>
  <c r="Y2073" i="26"/>
  <c r="Y2074" i="26"/>
  <c r="Z2073" i="26"/>
  <c r="Y2075" i="26"/>
  <c r="Z2074" i="26"/>
  <c r="Y2076" i="26"/>
  <c r="Z2075" i="26"/>
  <c r="Y2077" i="26"/>
  <c r="Z2076" i="26"/>
  <c r="Z2077" i="26"/>
  <c r="Y2078" i="26"/>
  <c r="Z2078" i="26"/>
  <c r="Y2079" i="26"/>
  <c r="Z2079" i="26"/>
  <c r="Y2080" i="26"/>
  <c r="Y2081" i="26"/>
  <c r="Z2080" i="26"/>
  <c r="Y2082" i="26"/>
  <c r="Z2081" i="26"/>
  <c r="Y2083" i="26"/>
  <c r="Z2082" i="26"/>
  <c r="Y2084" i="26"/>
  <c r="Z2083" i="26"/>
  <c r="Z2084" i="26"/>
  <c r="Y2085" i="26"/>
  <c r="Z2085" i="26"/>
  <c r="Y2086" i="26"/>
  <c r="Y2087" i="26"/>
  <c r="Z2086" i="26"/>
  <c r="Z2087" i="26"/>
  <c r="Y2088" i="26"/>
  <c r="Z2088" i="26"/>
  <c r="Y2089" i="26"/>
  <c r="Y2090" i="26"/>
  <c r="Z2089" i="26"/>
  <c r="Z2090" i="26"/>
  <c r="Y2091" i="26"/>
  <c r="Y2092" i="26"/>
  <c r="Z2091" i="26"/>
  <c r="Z2092" i="26"/>
  <c r="Y2093" i="26"/>
  <c r="Y2094" i="26"/>
  <c r="Z2093" i="26"/>
  <c r="Z2094" i="26"/>
  <c r="Y2095" i="26"/>
  <c r="Z2095" i="26"/>
  <c r="Y2096" i="26"/>
  <c r="Z2096" i="26"/>
  <c r="Y2097" i="26"/>
  <c r="Z2097" i="26"/>
  <c r="Y2098" i="26"/>
  <c r="Y2099" i="26"/>
  <c r="Z2098" i="26"/>
  <c r="Z2099" i="26"/>
  <c r="Y2100" i="26"/>
  <c r="Y2101" i="26"/>
  <c r="Z2100" i="26"/>
  <c r="Z2101" i="26"/>
  <c r="Y2102" i="26"/>
  <c r="Z2102" i="26"/>
  <c r="Y2103" i="26"/>
  <c r="Y2104" i="26"/>
  <c r="Z2103" i="26"/>
  <c r="Y2105" i="26"/>
  <c r="Z2104" i="26"/>
  <c r="Y2106" i="26"/>
  <c r="Z2105" i="26"/>
  <c r="Y2107" i="26"/>
  <c r="Z2106" i="26"/>
  <c r="Z2107" i="26"/>
  <c r="Y2108" i="26"/>
  <c r="Z2108" i="26"/>
  <c r="Y2109" i="26"/>
  <c r="Z2109" i="26"/>
  <c r="Y2110" i="26"/>
  <c r="Z2110" i="26"/>
  <c r="Y2111" i="26"/>
  <c r="Y2112" i="26"/>
  <c r="Z2111" i="26"/>
  <c r="Y2113" i="26"/>
  <c r="Z2112" i="26"/>
  <c r="Y2114" i="26"/>
  <c r="Z2113" i="26"/>
  <c r="Y2115" i="26"/>
  <c r="Z2114" i="26"/>
  <c r="Z2115" i="26"/>
  <c r="Y2116" i="26"/>
  <c r="Y2117" i="26"/>
  <c r="Z2116" i="26"/>
  <c r="Y2118" i="26"/>
  <c r="Z2117" i="26"/>
  <c r="Y2119" i="26"/>
  <c r="Z2118" i="26"/>
  <c r="Y2120" i="26"/>
  <c r="Z2119" i="26"/>
  <c r="Y2121" i="26"/>
  <c r="Z2120" i="26"/>
  <c r="Y2122" i="26"/>
  <c r="Z2121" i="26"/>
  <c r="Z2122" i="26"/>
  <c r="Y2123" i="26"/>
  <c r="Z2123" i="26"/>
  <c r="Y2124" i="26"/>
  <c r="Z2124" i="26"/>
  <c r="Y2125" i="26"/>
  <c r="Y2126" i="26"/>
  <c r="Z2125" i="26"/>
  <c r="Z2126" i="26"/>
  <c r="Y2127" i="26"/>
  <c r="Y2128" i="26"/>
  <c r="Z2127" i="26"/>
  <c r="Z2128" i="26"/>
  <c r="Y2129" i="26"/>
  <c r="Y2130" i="26"/>
  <c r="Z2129" i="26"/>
  <c r="Y2131" i="26"/>
  <c r="Z2130" i="26"/>
  <c r="Z2131" i="26"/>
  <c r="Y2132" i="26"/>
  <c r="Z2132" i="26"/>
  <c r="Y2133" i="26"/>
  <c r="Z2133" i="26"/>
  <c r="Y2134" i="26"/>
  <c r="Y2135" i="26"/>
  <c r="Z2134" i="26"/>
  <c r="Y2136" i="26"/>
  <c r="Z2135" i="26"/>
  <c r="Z2136" i="26"/>
  <c r="Y2137" i="26"/>
  <c r="Y2138" i="26"/>
  <c r="Z2137" i="26"/>
  <c r="Y2139" i="26"/>
  <c r="Z2138" i="26"/>
  <c r="Y2140" i="26"/>
  <c r="Z2139" i="26"/>
  <c r="Z2140" i="26"/>
  <c r="Y2141" i="26"/>
  <c r="Y2142" i="26"/>
  <c r="Z2141" i="26"/>
  <c r="Y2143" i="26"/>
  <c r="Z2142" i="26"/>
  <c r="Y2144" i="26"/>
  <c r="Z2143" i="26"/>
  <c r="Z2144" i="26"/>
  <c r="Y2145" i="26"/>
  <c r="Z2145" i="26"/>
  <c r="Y2146" i="26"/>
  <c r="Z2146" i="26"/>
  <c r="Y2147" i="26"/>
  <c r="Y2148" i="26"/>
  <c r="Z2147" i="26"/>
  <c r="Z2148" i="26"/>
  <c r="Y2149" i="26"/>
  <c r="Z2149" i="26"/>
  <c r="Y2150" i="26"/>
  <c r="Y2151" i="26"/>
  <c r="Z2150" i="26"/>
  <c r="Z2151" i="26"/>
  <c r="Y2152" i="26"/>
  <c r="Y2153" i="26"/>
  <c r="Z2152" i="26"/>
  <c r="Y2154" i="26"/>
  <c r="Z2153" i="26"/>
  <c r="Z2154" i="26"/>
  <c r="Y2155" i="26"/>
  <c r="Z2155" i="26"/>
  <c r="Y2156" i="26"/>
  <c r="Y2157" i="26"/>
  <c r="Z2156" i="26"/>
  <c r="Y2158" i="26"/>
  <c r="Z2157" i="26"/>
  <c r="Y2159" i="26"/>
  <c r="Z2158" i="26"/>
  <c r="Y2160" i="26"/>
  <c r="Z2159" i="26"/>
  <c r="Z2160" i="26"/>
  <c r="Y2161" i="26"/>
  <c r="Y2162" i="26"/>
  <c r="Z2161" i="26"/>
  <c r="Z2162" i="26"/>
  <c r="Y2163" i="26"/>
  <c r="Z2163" i="26"/>
  <c r="Y2164" i="26"/>
  <c r="Y2165" i="26"/>
  <c r="Z2164" i="26"/>
  <c r="Y2166" i="26"/>
  <c r="Z2165" i="26"/>
  <c r="Y2167" i="26"/>
  <c r="Z2166" i="26"/>
  <c r="Y2168" i="26"/>
  <c r="Z2167" i="26"/>
  <c r="Y2169" i="26"/>
  <c r="Z2168" i="26"/>
  <c r="Z2169" i="26"/>
  <c r="Y2170" i="26"/>
  <c r="Y2171" i="26"/>
  <c r="Z2170" i="26"/>
  <c r="Z2171" i="26"/>
  <c r="Y2172" i="26"/>
  <c r="Z2172" i="26"/>
  <c r="Y2173" i="26"/>
  <c r="Y2174" i="26"/>
  <c r="Z2173" i="26"/>
  <c r="Y2175" i="26"/>
  <c r="Z2174" i="26"/>
  <c r="Y2176" i="26"/>
  <c r="Z2175" i="26"/>
  <c r="Y2177" i="26"/>
  <c r="Z2176" i="26"/>
  <c r="Z2177" i="26"/>
  <c r="Y2178" i="26"/>
  <c r="Y2179" i="26"/>
  <c r="Z2178" i="26"/>
  <c r="Z2179" i="26"/>
  <c r="Y2180" i="26"/>
  <c r="Z2180" i="26"/>
  <c r="Y2181" i="26"/>
  <c r="Z2181" i="26"/>
  <c r="Y2182" i="26"/>
  <c r="Y2183" i="26"/>
  <c r="Z2182" i="26"/>
  <c r="Y2184" i="26"/>
  <c r="Z2183" i="26"/>
  <c r="Y2185" i="26"/>
  <c r="Z2184" i="26"/>
  <c r="Y2186" i="26"/>
  <c r="Z2185" i="26"/>
  <c r="Z2186" i="26"/>
  <c r="Y2187" i="26"/>
  <c r="Z2187" i="26"/>
  <c r="Y2188" i="26"/>
  <c r="Y2189" i="26"/>
  <c r="Z2188" i="26"/>
  <c r="Z2189" i="26"/>
  <c r="Y2190" i="26"/>
  <c r="Y2191" i="26"/>
  <c r="Z2190" i="26"/>
  <c r="Z2191" i="26"/>
  <c r="Y2192" i="26"/>
  <c r="Z2192" i="26"/>
  <c r="Y2193" i="26"/>
  <c r="Z2193" i="26"/>
  <c r="Y2194" i="26"/>
  <c r="Y2195" i="26"/>
  <c r="Z2194" i="26"/>
  <c r="Z2195" i="26"/>
  <c r="Y2196" i="26"/>
  <c r="Y2197" i="26"/>
  <c r="Z2196" i="26"/>
  <c r="Y2198" i="26"/>
  <c r="Z2197" i="26"/>
  <c r="Y2199" i="26"/>
  <c r="Z2198" i="26"/>
  <c r="Y2200" i="26"/>
  <c r="Z2199" i="26"/>
  <c r="Z2200" i="26"/>
  <c r="Y2201" i="26"/>
  <c r="Z2201" i="26"/>
  <c r="Y2202" i="26"/>
  <c r="Y2203" i="26"/>
  <c r="Z2202" i="26"/>
  <c r="Y2204" i="26"/>
  <c r="Z2203" i="26"/>
  <c r="Z2204" i="26"/>
  <c r="Y2205" i="26"/>
  <c r="Y2206" i="26"/>
  <c r="Z2205" i="26"/>
  <c r="Z2206" i="26"/>
  <c r="Y2207" i="26"/>
  <c r="Z2207" i="26"/>
  <c r="Y2208" i="26"/>
  <c r="Y2209" i="26"/>
  <c r="Z2208" i="26"/>
  <c r="Z2209" i="26"/>
  <c r="Y2210" i="26"/>
  <c r="Z2210" i="26"/>
  <c r="Y2211" i="26"/>
  <c r="Z2211" i="26"/>
  <c r="Y2212" i="26"/>
  <c r="Y2213" i="26"/>
  <c r="Z2212" i="26"/>
  <c r="Z2213" i="26"/>
  <c r="Y2214" i="26"/>
  <c r="Y2215" i="26"/>
  <c r="Z2214" i="26"/>
  <c r="Z2215" i="26"/>
  <c r="Y2216" i="26"/>
  <c r="Y2217" i="26"/>
  <c r="Z2216" i="26"/>
  <c r="Z2217" i="26"/>
  <c r="Y2218" i="26"/>
  <c r="Y2219" i="26"/>
  <c r="Z2218" i="26"/>
  <c r="Z2219" i="26"/>
  <c r="Y2220" i="26"/>
  <c r="Y2221" i="26"/>
  <c r="Z2220" i="26"/>
  <c r="Z2221" i="26"/>
  <c r="Y2222" i="26"/>
  <c r="Y2223" i="26"/>
  <c r="Z2222" i="26"/>
  <c r="Y2224" i="26"/>
  <c r="Z2223" i="26"/>
  <c r="Z2224" i="26"/>
  <c r="Y2225" i="26"/>
  <c r="Y2226" i="26"/>
  <c r="Z2225" i="26"/>
  <c r="Y2227" i="26"/>
  <c r="Z2226" i="26"/>
  <c r="Y2228" i="26"/>
  <c r="Z2227" i="26"/>
  <c r="Z2228" i="26"/>
  <c r="Y2229" i="26"/>
  <c r="Y2230" i="26"/>
  <c r="Z2229" i="26"/>
  <c r="Y2231" i="26"/>
  <c r="Z2230" i="26"/>
  <c r="Y2232" i="26"/>
  <c r="Z2231" i="26"/>
  <c r="Z2232" i="26"/>
  <c r="Y2233" i="26"/>
  <c r="Y2234" i="26"/>
  <c r="Z2233" i="26"/>
  <c r="Y2235" i="26"/>
  <c r="Z2234" i="26"/>
  <c r="Y2236" i="26"/>
  <c r="Z2235" i="26"/>
  <c r="Z2236" i="26"/>
  <c r="Y2237" i="26"/>
  <c r="Z2237" i="26"/>
  <c r="Y2238" i="26"/>
  <c r="Y2239" i="26"/>
  <c r="Z2238" i="26"/>
  <c r="Y2240" i="26"/>
  <c r="Z2239" i="26"/>
  <c r="Y2241" i="26"/>
  <c r="Z2240" i="26"/>
  <c r="Z2241" i="26"/>
  <c r="Y2242" i="26"/>
  <c r="Z2242" i="26"/>
  <c r="Y2243" i="26"/>
  <c r="Y2244" i="26"/>
  <c r="Z2243" i="26"/>
  <c r="Z2244" i="26"/>
  <c r="Y2245" i="26"/>
  <c r="Z2245" i="26"/>
  <c r="Y2246" i="26"/>
  <c r="Z2246" i="26"/>
  <c r="Y2247" i="26"/>
  <c r="Y2248" i="26"/>
  <c r="Z2247" i="26"/>
  <c r="Y2249" i="26"/>
  <c r="Z2248" i="26"/>
  <c r="Z2249" i="26"/>
  <c r="Y2250" i="26"/>
  <c r="Z2250" i="26"/>
  <c r="Y2251" i="26"/>
  <c r="Y2252" i="26"/>
  <c r="Z2251" i="26"/>
  <c r="Z2252" i="26"/>
  <c r="Y2253" i="26"/>
  <c r="Y2254" i="26"/>
  <c r="Z2253" i="26"/>
  <c r="Z2254" i="26"/>
  <c r="Y2255" i="26"/>
  <c r="Z2255" i="26"/>
  <c r="Y2256" i="26"/>
  <c r="Z2256" i="26"/>
  <c r="Y2257" i="26"/>
  <c r="Y2258" i="26"/>
  <c r="Z2257" i="26"/>
  <c r="Z2258" i="26"/>
  <c r="Y2259" i="26"/>
  <c r="Y2260" i="26"/>
  <c r="Z2259" i="26"/>
  <c r="Y2261" i="26"/>
  <c r="Z2260" i="26"/>
  <c r="Z2261" i="26"/>
  <c r="Y2262" i="26"/>
  <c r="Y2263" i="26"/>
  <c r="Z2262" i="26"/>
  <c r="Y2264" i="26"/>
  <c r="Z2263" i="26"/>
  <c r="Z2264" i="26"/>
  <c r="Y2265" i="26"/>
  <c r="Z2265" i="26"/>
  <c r="Y2266" i="26"/>
  <c r="Y2267" i="26"/>
  <c r="Z2266" i="26"/>
  <c r="Y2268" i="26"/>
  <c r="Z2267" i="26"/>
  <c r="Y2269" i="26"/>
  <c r="Z2268" i="26"/>
  <c r="Z2269" i="26"/>
  <c r="Y2270" i="26"/>
  <c r="Z2270" i="26"/>
  <c r="Y2271" i="26"/>
  <c r="Y2272" i="26"/>
  <c r="Z2271" i="26"/>
  <c r="Y2273" i="26"/>
  <c r="Z2272" i="26"/>
  <c r="Z2273" i="26"/>
  <c r="Y2274" i="26"/>
  <c r="Z2274" i="26"/>
  <c r="Y2275" i="26"/>
  <c r="Z2275" i="26"/>
  <c r="Y2276" i="26"/>
  <c r="Y2277" i="26"/>
  <c r="Z2276" i="26"/>
  <c r="Z2277" i="26"/>
  <c r="Y2278" i="26"/>
  <c r="Y2279" i="26"/>
  <c r="Z2278" i="26"/>
  <c r="Y2280" i="26"/>
  <c r="Z2279" i="26"/>
  <c r="Z2280" i="26"/>
  <c r="Y2281" i="26"/>
  <c r="Y2282" i="26"/>
  <c r="Z2281" i="26"/>
  <c r="Z2282" i="26"/>
  <c r="Y2283" i="26"/>
  <c r="Y2284" i="26"/>
  <c r="Z2283" i="26"/>
  <c r="Y2285" i="26"/>
  <c r="Z2284" i="26"/>
  <c r="Y2286" i="26"/>
  <c r="Z2285" i="26"/>
  <c r="Z2286" i="26"/>
  <c r="Y2287" i="26"/>
  <c r="Z2287" i="26"/>
  <c r="Y2288" i="26"/>
  <c r="Y2289" i="26"/>
  <c r="Z2288" i="26"/>
  <c r="Y2290" i="26"/>
  <c r="Z2289" i="26"/>
  <c r="Z2290" i="26"/>
  <c r="Y2291" i="26"/>
  <c r="Y2292" i="26"/>
  <c r="Z2291" i="26"/>
  <c r="Y2293" i="26"/>
  <c r="Z2292" i="26"/>
  <c r="Z2293" i="26"/>
  <c r="Y2294" i="26"/>
  <c r="Z2294" i="26"/>
  <c r="Y2295" i="26"/>
  <c r="Y2296" i="26"/>
  <c r="Z2295" i="26"/>
  <c r="Y2297" i="26"/>
  <c r="Z2296" i="26"/>
  <c r="Y2298" i="26"/>
  <c r="Z2297" i="26"/>
  <c r="Z2298" i="26"/>
  <c r="Y2299" i="26"/>
  <c r="Z2299" i="26"/>
  <c r="Y2300" i="26"/>
  <c r="Y2301" i="26"/>
  <c r="Z2300" i="26"/>
  <c r="Z2301" i="26"/>
  <c r="Y2302" i="26"/>
  <c r="Z2302" i="26"/>
  <c r="Y2303" i="26"/>
  <c r="Z2303" i="26"/>
  <c r="Y2304" i="26"/>
  <c r="Z2304" i="26"/>
  <c r="Y2305" i="26"/>
  <c r="Y2306" i="26"/>
  <c r="Z2305" i="26"/>
  <c r="Y2307" i="26"/>
  <c r="Z2306" i="26"/>
  <c r="Y2308" i="26"/>
  <c r="Z2307" i="26"/>
  <c r="Z2308" i="26"/>
  <c r="Y2309" i="26"/>
  <c r="Y2310" i="26"/>
  <c r="Z2309" i="26"/>
  <c r="Y2311" i="26"/>
  <c r="Z2310" i="26"/>
  <c r="Y2312" i="26"/>
  <c r="Z2311" i="26"/>
  <c r="Z2312" i="26"/>
  <c r="Y2313" i="26"/>
  <c r="Y2314" i="26"/>
  <c r="Z2313" i="26"/>
  <c r="Z2314" i="26"/>
  <c r="Y2315" i="26"/>
  <c r="Z2315" i="26"/>
  <c r="Y2316" i="26"/>
  <c r="Z2316" i="26"/>
  <c r="Y2317" i="26"/>
  <c r="Z2317" i="26"/>
  <c r="Y2318" i="26"/>
  <c r="Y2319" i="26"/>
  <c r="Z2318" i="26"/>
  <c r="Z2319" i="26"/>
  <c r="Y2320" i="26"/>
  <c r="Z2320" i="26"/>
  <c r="Y2321" i="26"/>
  <c r="Y2322" i="26"/>
  <c r="Z2321" i="26"/>
  <c r="Y2323" i="26"/>
  <c r="Z2322" i="26"/>
  <c r="Z2323" i="26"/>
  <c r="Y2324" i="26"/>
  <c r="Z2324" i="26"/>
  <c r="Y2325" i="26"/>
  <c r="Z2325" i="26"/>
  <c r="Y2326" i="26"/>
  <c r="Y2327" i="26"/>
  <c r="Z2326" i="26"/>
  <c r="Z2327" i="26"/>
  <c r="Y2328" i="26"/>
  <c r="Y2329" i="26"/>
  <c r="Z2328" i="26"/>
  <c r="Y2330" i="26"/>
  <c r="Z2329" i="26"/>
  <c r="Y2331" i="26"/>
  <c r="Z2330" i="26"/>
  <c r="Z2331" i="26"/>
  <c r="Y2332" i="26"/>
  <c r="Y2333" i="26"/>
  <c r="Z2332" i="26"/>
  <c r="Y2334" i="26"/>
  <c r="Z2333" i="26"/>
  <c r="Y2335" i="26"/>
  <c r="Z2334" i="26"/>
  <c r="Z2335" i="26"/>
  <c r="Y2336" i="26"/>
  <c r="Z2336" i="26"/>
  <c r="Y2337" i="26"/>
  <c r="Y2338" i="26"/>
  <c r="Z2337" i="26"/>
  <c r="Z2338" i="26"/>
  <c r="Y2339" i="26"/>
  <c r="Z2339" i="26"/>
  <c r="Y2340" i="26"/>
  <c r="Y2341" i="26"/>
  <c r="Z2340" i="26"/>
  <c r="Z2341" i="26"/>
  <c r="Y2342" i="26"/>
  <c r="Z2342" i="26"/>
  <c r="Y2343" i="26"/>
  <c r="Y2344" i="26"/>
  <c r="Z2343" i="26"/>
  <c r="Y2345" i="26"/>
  <c r="Z2344" i="26"/>
  <c r="Y2346" i="26"/>
  <c r="Z2345" i="26"/>
  <c r="Y2347" i="26"/>
  <c r="Z2346" i="26"/>
  <c r="Y2348" i="26"/>
  <c r="Z2347" i="26"/>
  <c r="Z2348" i="26"/>
  <c r="Y2349" i="26"/>
  <c r="Y2350" i="26"/>
  <c r="Z2349" i="26"/>
  <c r="Y2351" i="26"/>
  <c r="Z2350" i="26"/>
  <c r="Y2352" i="26"/>
  <c r="Z2351" i="26"/>
  <c r="Z2352" i="26"/>
  <c r="Y2353" i="26"/>
  <c r="Y2354" i="26"/>
  <c r="Z2353" i="26"/>
  <c r="Y2355" i="26"/>
  <c r="Z2354" i="26"/>
  <c r="Y2356" i="26"/>
  <c r="Z2355" i="26"/>
  <c r="Z2356" i="26"/>
  <c r="Y2357" i="26"/>
  <c r="Z2357" i="26"/>
  <c r="Y2358" i="26"/>
  <c r="Y2359" i="26"/>
  <c r="Z2358" i="26"/>
  <c r="Y2360" i="26"/>
  <c r="Z2359" i="26"/>
  <c r="Z2360" i="26"/>
  <c r="Y2361" i="26"/>
  <c r="Y2362" i="26"/>
  <c r="Z2361" i="26"/>
  <c r="Z2362" i="26"/>
  <c r="Y2363" i="26"/>
  <c r="Z2363" i="26"/>
  <c r="Y2364" i="26"/>
  <c r="Y2365" i="26"/>
  <c r="Z2364" i="26"/>
  <c r="Z2365" i="26"/>
  <c r="Y2366" i="26"/>
  <c r="Z2366" i="26"/>
  <c r="Y2367" i="26"/>
  <c r="Z2367" i="26"/>
  <c r="Y2368" i="26"/>
  <c r="Z2368" i="26"/>
  <c r="Y2369" i="26"/>
  <c r="Z2369" i="26"/>
  <c r="Y2370" i="26"/>
  <c r="Z2370" i="26"/>
  <c r="Y2371" i="26"/>
  <c r="Z2371" i="26"/>
  <c r="Y2372" i="26"/>
  <c r="Y2373" i="26"/>
  <c r="Z2372" i="26"/>
  <c r="Z2373" i="26"/>
  <c r="Y2374" i="26"/>
  <c r="Y2375" i="26"/>
  <c r="Z2374" i="26"/>
  <c r="Z2375" i="26"/>
  <c r="Y2376" i="26"/>
  <c r="Z2376" i="26"/>
  <c r="Y2377" i="26"/>
  <c r="Y2378" i="26"/>
  <c r="Z2377" i="26"/>
  <c r="Y2379" i="26"/>
  <c r="Z2378" i="26"/>
  <c r="Z2379" i="26"/>
  <c r="Y2380" i="26"/>
  <c r="Y2381" i="26"/>
  <c r="Z2380" i="26"/>
  <c r="Y2382" i="26"/>
  <c r="Z2381" i="26"/>
  <c r="Y2383" i="26"/>
  <c r="Z2382" i="26"/>
  <c r="Y2384" i="26"/>
  <c r="Z2383" i="26"/>
  <c r="Y2385" i="26"/>
  <c r="Z2384" i="26"/>
  <c r="Z2385" i="26"/>
  <c r="Y2386" i="26"/>
  <c r="Y2387" i="26"/>
  <c r="Z2386" i="26"/>
  <c r="Z2387" i="26"/>
  <c r="Y2388" i="26"/>
  <c r="Z2388" i="26"/>
  <c r="Y2389" i="26"/>
  <c r="Z2389" i="26"/>
  <c r="Y2390" i="26"/>
  <c r="Y2391" i="26"/>
  <c r="Z2390" i="26"/>
  <c r="Z2391" i="26"/>
  <c r="Y2392" i="26"/>
  <c r="Z2392" i="26"/>
  <c r="Y2393" i="26"/>
  <c r="Y2394" i="26"/>
  <c r="Z2393" i="26"/>
  <c r="Y2395" i="26"/>
  <c r="Z2394" i="26"/>
  <c r="Z2395" i="26"/>
  <c r="Y2396" i="26"/>
  <c r="Z2396" i="26"/>
  <c r="Y2397" i="26"/>
  <c r="Y2398" i="26"/>
  <c r="Z2397" i="26"/>
  <c r="Y2399" i="26"/>
  <c r="Z2398" i="26"/>
  <c r="Y2400" i="26"/>
  <c r="Z2399" i="26"/>
  <c r="Y2401" i="26"/>
  <c r="Z2400" i="26"/>
  <c r="Z2401" i="26"/>
  <c r="Y2402" i="26"/>
  <c r="Y2403" i="26"/>
  <c r="Z2402" i="26"/>
  <c r="Y2404" i="26"/>
  <c r="Z2403" i="26"/>
  <c r="Y2405" i="26"/>
  <c r="Z2404" i="26"/>
  <c r="Z2405" i="26"/>
  <c r="Y2406" i="26"/>
  <c r="Z2406" i="26"/>
  <c r="Y2407" i="26"/>
  <c r="Z2407" i="26"/>
  <c r="Y2408" i="26"/>
  <c r="Z2408" i="26"/>
  <c r="Y2409" i="26"/>
  <c r="Y2410" i="26"/>
  <c r="Z2409" i="26"/>
  <c r="Z2410" i="26"/>
  <c r="Y2411" i="26"/>
  <c r="Y2412" i="26"/>
  <c r="Z2411" i="26"/>
  <c r="Y2413" i="26"/>
  <c r="Z2412" i="26"/>
  <c r="Z2413" i="26"/>
  <c r="Y2414" i="26"/>
  <c r="Z2414" i="26"/>
  <c r="Y2415" i="26"/>
  <c r="Z2415" i="26"/>
  <c r="Y2416" i="26"/>
  <c r="Z2416" i="26"/>
  <c r="Y2417" i="26"/>
  <c r="Z2417" i="26"/>
  <c r="Y2418" i="26"/>
  <c r="Y2419" i="26"/>
  <c r="Z2418" i="26"/>
  <c r="Y2420" i="26"/>
  <c r="Z2419" i="26"/>
  <c r="Y2421" i="26"/>
  <c r="Z2420" i="26"/>
  <c r="Y2422" i="26"/>
  <c r="Z2421" i="26"/>
  <c r="Z2422" i="26"/>
  <c r="Y2423" i="26"/>
  <c r="Z2423" i="26"/>
  <c r="Y2424" i="26"/>
  <c r="Y2425" i="26"/>
  <c r="Z2424" i="26"/>
  <c r="Y2426" i="26"/>
  <c r="Z2425" i="26"/>
  <c r="Y2427" i="26"/>
  <c r="Z2426" i="26"/>
  <c r="Y2428" i="26"/>
  <c r="Z2427" i="26"/>
  <c r="Y2429" i="26"/>
  <c r="Z2428" i="26"/>
  <c r="Y2430" i="26"/>
  <c r="Z2429" i="26"/>
  <c r="Z2430" i="26"/>
  <c r="Y2431" i="26"/>
  <c r="Z2431" i="26"/>
  <c r="Y2432" i="26"/>
  <c r="Y2433" i="26"/>
  <c r="Z2432" i="26"/>
  <c r="Z2433" i="26"/>
  <c r="Y2434" i="26"/>
  <c r="Y2435" i="26"/>
  <c r="Z2434" i="26"/>
  <c r="Z2435" i="26"/>
  <c r="Y2436" i="26"/>
  <c r="Z2436" i="26"/>
  <c r="Y2437" i="26"/>
  <c r="Z2437" i="26"/>
  <c r="Y2438" i="26"/>
  <c r="Z2438" i="26"/>
  <c r="Y2439" i="26"/>
  <c r="Y2440" i="26"/>
  <c r="Z2439" i="26"/>
  <c r="Y2441" i="26"/>
  <c r="Z2440" i="26"/>
  <c r="Z2441" i="26"/>
  <c r="Y2442" i="26"/>
  <c r="Z2442" i="26"/>
  <c r="Y2443" i="26"/>
  <c r="Z2443" i="26"/>
  <c r="Y2444" i="26"/>
  <c r="Y2445" i="26"/>
  <c r="Z2444" i="26"/>
  <c r="Y2446" i="26"/>
  <c r="Z2445" i="26"/>
  <c r="Z2446" i="26"/>
  <c r="Y2447" i="26"/>
  <c r="Z2447" i="26"/>
  <c r="Y2448" i="26"/>
  <c r="Y2449" i="26"/>
  <c r="Z2448" i="26"/>
  <c r="Y2450" i="26"/>
  <c r="Z2449" i="26"/>
  <c r="Y2451" i="26"/>
  <c r="Z2450" i="26"/>
  <c r="Z2451" i="26"/>
  <c r="Y2452" i="26"/>
  <c r="Y2453" i="26"/>
  <c r="Z2452" i="26"/>
  <c r="Z2453" i="26"/>
  <c r="Y2454" i="26"/>
  <c r="Z2454" i="26"/>
  <c r="Y2455" i="26"/>
  <c r="Y2456" i="26"/>
  <c r="Z2455" i="26"/>
  <c r="Y2457" i="26"/>
  <c r="Z2456" i="26"/>
  <c r="Y2458" i="26"/>
  <c r="Z2457" i="26"/>
  <c r="Z2458" i="26"/>
  <c r="Y2459" i="26"/>
  <c r="Y2460" i="26"/>
  <c r="Z2459" i="26"/>
  <c r="Y2461" i="26"/>
  <c r="Z2460" i="26"/>
  <c r="Z2461" i="26"/>
  <c r="Y2462" i="26"/>
  <c r="Z2462" i="26"/>
  <c r="Y2463" i="26"/>
  <c r="Z2463" i="26"/>
  <c r="Y2464" i="26"/>
  <c r="Z2464" i="26"/>
  <c r="Y2465" i="26"/>
  <c r="Y2466" i="26"/>
  <c r="Z2465" i="26"/>
  <c r="Z2466" i="26"/>
  <c r="Y2467" i="26"/>
  <c r="Y2468" i="26"/>
  <c r="Z2467" i="26"/>
  <c r="Z2468" i="26"/>
  <c r="Y2469" i="26"/>
  <c r="Y2470" i="26"/>
  <c r="Z2469" i="26"/>
  <c r="Y2471" i="26"/>
  <c r="Z2470" i="26"/>
  <c r="Y2472" i="26"/>
  <c r="Z2471" i="26"/>
  <c r="Y2473" i="26"/>
  <c r="Z2472" i="26"/>
  <c r="Z2473" i="26"/>
  <c r="Y2474" i="26"/>
  <c r="Z2474" i="26"/>
  <c r="Y2475" i="26"/>
  <c r="Y2476" i="26"/>
  <c r="Z2475" i="26"/>
  <c r="Z2476" i="26"/>
  <c r="Y2477" i="26"/>
  <c r="Z2477" i="26"/>
  <c r="Y2478" i="26"/>
  <c r="Y2479" i="26"/>
  <c r="Z2478" i="26"/>
  <c r="Y2480" i="26"/>
  <c r="Z2479" i="26"/>
  <c r="Z2480" i="26"/>
  <c r="Y2481" i="26"/>
  <c r="Y2482" i="26"/>
  <c r="Z2481" i="26"/>
  <c r="Y2483" i="26"/>
  <c r="Z2482" i="26"/>
  <c r="Y2484" i="26"/>
  <c r="Z2483" i="26"/>
  <c r="Z2484" i="26"/>
  <c r="Y2485" i="26"/>
  <c r="Z2485" i="26"/>
  <c r="Y2486" i="26"/>
  <c r="Y2487" i="26"/>
  <c r="Z2486" i="26"/>
  <c r="Z2487" i="26"/>
  <c r="Y2488" i="26"/>
  <c r="Z2488" i="26"/>
  <c r="Y2489" i="26"/>
  <c r="Y2490" i="26"/>
  <c r="Z2489" i="26"/>
  <c r="Y2491" i="26"/>
  <c r="Z2490" i="26"/>
  <c r="Z2491" i="26"/>
  <c r="Y2492" i="26"/>
  <c r="Y2493" i="26"/>
  <c r="Z2492" i="26"/>
  <c r="Z2493" i="26"/>
  <c r="Y2494" i="26"/>
  <c r="Z2494" i="26"/>
  <c r="Y2495" i="26"/>
  <c r="Y2496" i="26"/>
  <c r="Z2495" i="26"/>
  <c r="Y2497" i="26"/>
  <c r="Z2496" i="26"/>
  <c r="Y2498" i="26"/>
  <c r="Z2497" i="26"/>
  <c r="Z2498" i="26"/>
  <c r="Y2499" i="26"/>
  <c r="Z2499" i="26"/>
  <c r="Y2500" i="26"/>
  <c r="Y2501" i="26"/>
  <c r="Z2500" i="26"/>
  <c r="Z2501" i="26"/>
  <c r="Y2502" i="26"/>
  <c r="Y2503" i="26"/>
  <c r="Z2502" i="26"/>
  <c r="Y2504" i="26"/>
  <c r="Z2503" i="26"/>
  <c r="Y2505" i="26"/>
  <c r="Z2504" i="26"/>
  <c r="Z2505" i="26"/>
  <c r="Y2506" i="26"/>
  <c r="Y2507" i="26"/>
  <c r="Z2506" i="26"/>
  <c r="Z2507" i="26"/>
  <c r="Y2508" i="26"/>
  <c r="Y2509" i="26"/>
  <c r="Z2508" i="26"/>
  <c r="Y2510" i="26"/>
  <c r="Z2509" i="26"/>
  <c r="Y2511" i="26"/>
  <c r="Z2510" i="26"/>
  <c r="Y2512" i="26"/>
  <c r="Z2511" i="26"/>
  <c r="Z2512" i="26"/>
  <c r="Y2513" i="26"/>
  <c r="Y2514" i="26"/>
  <c r="Z2513" i="26"/>
  <c r="Y2515" i="26"/>
  <c r="Z2514" i="26"/>
  <c r="Z2515" i="26"/>
  <c r="Y2516" i="26"/>
  <c r="Y2517" i="26"/>
  <c r="Z2516" i="26"/>
  <c r="Y2518" i="26"/>
  <c r="Z2517" i="26"/>
  <c r="Y2519" i="26"/>
  <c r="Z2518" i="26"/>
  <c r="Z2519" i="26"/>
  <c r="Y2520" i="26"/>
  <c r="Y2521" i="26"/>
  <c r="Z2520" i="26"/>
  <c r="Y2522" i="26"/>
  <c r="Z2521" i="26"/>
  <c r="Y2523" i="26"/>
  <c r="Z2522" i="26"/>
  <c r="Y2524" i="26"/>
  <c r="Z2523" i="26"/>
  <c r="Z2524" i="26"/>
  <c r="Y2525" i="26"/>
  <c r="Z2525" i="26"/>
  <c r="Y2526" i="26"/>
  <c r="Y2527" i="26"/>
  <c r="Z2526" i="26"/>
  <c r="Z2527" i="26"/>
  <c r="Y2528" i="26"/>
  <c r="Z2528" i="26"/>
  <c r="Y2529" i="26"/>
  <c r="Y2530" i="26"/>
  <c r="Z2529" i="26"/>
  <c r="Z2530" i="26"/>
  <c r="Y2531" i="26"/>
  <c r="Z2531" i="26"/>
  <c r="Y2532" i="26"/>
  <c r="Y2533" i="26"/>
  <c r="Z2532" i="26"/>
  <c r="Y2534" i="26"/>
  <c r="Z2533" i="26"/>
  <c r="Y2535" i="26"/>
  <c r="Z2534" i="26"/>
  <c r="Z2535" i="26"/>
  <c r="Y2536" i="26"/>
  <c r="Y2537" i="26"/>
  <c r="Z2536" i="26"/>
  <c r="Y2538" i="26"/>
  <c r="Z2537" i="26"/>
  <c r="Z2538" i="26"/>
  <c r="Y2539" i="26"/>
  <c r="Y2540" i="26"/>
  <c r="Z2539" i="26"/>
  <c r="Y2541" i="26"/>
  <c r="Z2540" i="26"/>
  <c r="Y2542" i="26"/>
  <c r="Z2541" i="26"/>
  <c r="Y2543" i="26"/>
  <c r="Z2542" i="26"/>
  <c r="Z2543" i="26"/>
  <c r="Y2544" i="26"/>
  <c r="Z2544" i="26"/>
  <c r="Y2545" i="26"/>
  <c r="Y2546" i="26"/>
  <c r="Z2545" i="26"/>
  <c r="Z2546" i="26"/>
  <c r="Y2547" i="26"/>
  <c r="Z2547" i="26"/>
  <c r="Y2548" i="26"/>
  <c r="Y2549" i="26"/>
  <c r="Z2548" i="26"/>
  <c r="Y2550" i="26"/>
  <c r="Z2549" i="26"/>
  <c r="Y2551" i="26"/>
  <c r="Z2550" i="26"/>
  <c r="Y2552" i="26"/>
  <c r="Z2551" i="26"/>
  <c r="Z2552" i="26"/>
  <c r="Y2553" i="26"/>
  <c r="Y2554" i="26"/>
  <c r="Z2553" i="26"/>
  <c r="Y2555" i="26"/>
  <c r="Z2554" i="26"/>
  <c r="Y2556" i="26"/>
  <c r="Z2555" i="26"/>
  <c r="Y2557" i="26"/>
  <c r="Z2556" i="26"/>
  <c r="Y2558" i="26"/>
  <c r="Z2557" i="26"/>
  <c r="Z2558" i="26"/>
  <c r="Y2559" i="26"/>
  <c r="Y2560" i="26"/>
  <c r="Z2559" i="26"/>
  <c r="Z2560" i="26"/>
  <c r="Y2561" i="26"/>
  <c r="Z2561" i="26"/>
  <c r="Y2562" i="26"/>
  <c r="Z2562" i="26"/>
  <c r="Y2563" i="26"/>
  <c r="Z2563" i="26"/>
  <c r="Y2564" i="26"/>
  <c r="Z2564" i="26"/>
  <c r="Y2565" i="26"/>
  <c r="Y2566" i="26"/>
  <c r="Z2565" i="26"/>
  <c r="Y2567" i="26"/>
  <c r="Z2566" i="26"/>
  <c r="Y2568" i="26"/>
  <c r="Z2567" i="26"/>
  <c r="Y2569" i="26"/>
  <c r="Z2568" i="26"/>
  <c r="Z2569" i="26"/>
  <c r="Y2570" i="26"/>
  <c r="Y2571" i="26"/>
  <c r="Z2570" i="26"/>
  <c r="Z2571" i="26"/>
  <c r="Y2572" i="26"/>
  <c r="Y2573" i="26"/>
  <c r="Z2572" i="26"/>
  <c r="Z2573" i="26"/>
  <c r="Y2574" i="26"/>
  <c r="Z2574" i="26"/>
  <c r="Y2575" i="26"/>
  <c r="Y2576" i="26"/>
  <c r="Z2575" i="26"/>
  <c r="Z2576" i="26"/>
  <c r="Y2577" i="26"/>
  <c r="Z2577" i="26"/>
  <c r="Y2578" i="26"/>
  <c r="Y2579" i="26"/>
  <c r="Z2578" i="26"/>
  <c r="Y2580" i="26"/>
  <c r="Z2579" i="26"/>
  <c r="Y2581" i="26"/>
  <c r="Z2580" i="26"/>
  <c r="Z2581" i="26"/>
  <c r="Y2582" i="26"/>
  <c r="Z2582" i="26"/>
  <c r="Y2583" i="26"/>
  <c r="Z2583" i="26"/>
  <c r="Y2584" i="26"/>
  <c r="Z2584" i="26"/>
  <c r="Y2585" i="26"/>
  <c r="Z2585" i="26"/>
  <c r="Y2586" i="26"/>
  <c r="Z2586" i="26"/>
  <c r="Y2587" i="26"/>
  <c r="Y2588" i="26"/>
  <c r="Z2587" i="26"/>
  <c r="Z2588" i="26"/>
  <c r="Y2589" i="26"/>
  <c r="Z2589" i="26"/>
  <c r="Y2590" i="26"/>
  <c r="Z2590" i="26"/>
  <c r="Y2591" i="26"/>
  <c r="Z2591" i="26"/>
  <c r="Y2592" i="26"/>
  <c r="Y2593" i="26"/>
  <c r="Z2592" i="26"/>
  <c r="Z2593" i="26"/>
  <c r="Y2594" i="26"/>
  <c r="Z2594" i="26"/>
  <c r="Y2595" i="26"/>
  <c r="Y2596" i="26"/>
  <c r="Z2595" i="26"/>
  <c r="Y2597" i="26"/>
  <c r="Z2596" i="26"/>
  <c r="Z2597" i="26"/>
  <c r="Y2598" i="26"/>
  <c r="Z2598" i="26"/>
  <c r="Y2599" i="26"/>
  <c r="Y2600" i="26"/>
  <c r="Z2599" i="26"/>
  <c r="Y2601" i="26"/>
  <c r="Z2600" i="26"/>
  <c r="Y2602" i="26"/>
  <c r="Z2601" i="26"/>
  <c r="Z2602" i="26"/>
  <c r="Y2603" i="26"/>
  <c r="Z2603" i="26"/>
  <c r="Y2604" i="26"/>
  <c r="Y2605" i="26"/>
  <c r="Z2604" i="26"/>
  <c r="Z2605" i="26"/>
  <c r="Y2606" i="26"/>
  <c r="Y2607" i="26"/>
  <c r="Z2606" i="26"/>
  <c r="Z2607" i="26"/>
  <c r="Y2608" i="26"/>
  <c r="Z2608" i="26"/>
  <c r="Y2609" i="26"/>
  <c r="Y2610" i="26"/>
  <c r="Z2609" i="26"/>
  <c r="Y2611" i="26"/>
  <c r="Z2610" i="26"/>
  <c r="Z2611" i="26"/>
  <c r="Y2612" i="26"/>
  <c r="Z2612" i="26"/>
  <c r="Y2613" i="26"/>
  <c r="Y2614" i="26"/>
  <c r="Z2613" i="26"/>
  <c r="Y2615" i="26"/>
  <c r="Z2614" i="26"/>
  <c r="Z2615" i="26"/>
  <c r="Y2616" i="26"/>
  <c r="Y2617" i="26"/>
  <c r="Z2616" i="26"/>
  <c r="Y2618" i="26"/>
  <c r="Z2617" i="26"/>
  <c r="Z2618" i="26"/>
  <c r="Y2619" i="26"/>
  <c r="Z2619" i="26"/>
  <c r="Y2620" i="26"/>
  <c r="Z2620" i="26"/>
  <c r="Y2621" i="26"/>
  <c r="Z2621" i="26"/>
  <c r="Y2622" i="26"/>
  <c r="Y2623" i="26"/>
  <c r="Z2622" i="26"/>
  <c r="Z2623" i="26"/>
  <c r="Y2624" i="26"/>
  <c r="Y2625" i="26"/>
  <c r="Z2624" i="26"/>
  <c r="Z2625" i="26"/>
  <c r="Y2626" i="26"/>
  <c r="Y2627" i="26"/>
  <c r="Z2626" i="26"/>
  <c r="Y2628" i="26"/>
  <c r="Z2627" i="26"/>
  <c r="Z2628" i="26"/>
  <c r="Y2629" i="26"/>
  <c r="Z2629" i="26"/>
  <c r="Y2630" i="26"/>
  <c r="Y2631" i="26"/>
  <c r="Z2630" i="26"/>
  <c r="Z2631" i="26"/>
  <c r="Y2632" i="26"/>
  <c r="Z2632" i="26"/>
  <c r="Y2633" i="26"/>
  <c r="Z2633" i="26"/>
  <c r="Y2634" i="26"/>
  <c r="Z2634" i="26"/>
  <c r="Y2635" i="26"/>
  <c r="Z2635" i="26"/>
  <c r="Y2636" i="26"/>
  <c r="Z2636" i="26"/>
  <c r="Y2637" i="26"/>
  <c r="Z2637" i="26"/>
  <c r="Y2638" i="26"/>
  <c r="Y2639" i="26"/>
  <c r="Z2638" i="26"/>
  <c r="Y2640" i="26"/>
  <c r="Z2639" i="26"/>
  <c r="Z2640" i="26"/>
  <c r="Y2641" i="26"/>
  <c r="Z2641" i="26"/>
  <c r="Y2642" i="26"/>
  <c r="Y2643" i="26"/>
  <c r="Z2642" i="26"/>
  <c r="Y2644" i="26"/>
  <c r="Z2643" i="26"/>
  <c r="Y2645" i="26"/>
  <c r="Z2644" i="26"/>
  <c r="Y2646" i="26"/>
  <c r="Z2645" i="26"/>
  <c r="Z2646" i="26"/>
  <c r="Y2647" i="26"/>
  <c r="Y2648" i="26"/>
  <c r="Z2647" i="26"/>
  <c r="Z2648" i="26"/>
  <c r="Y2649" i="26"/>
  <c r="Y2650" i="26"/>
  <c r="Z2649" i="26"/>
  <c r="Y2651" i="26"/>
  <c r="Z2650" i="26"/>
  <c r="Y2652" i="26"/>
  <c r="Z2651" i="26"/>
  <c r="Z2652" i="26"/>
  <c r="Y2653" i="26"/>
  <c r="Y2654" i="26"/>
  <c r="Z2653" i="26"/>
  <c r="Z2654" i="26"/>
  <c r="Y2655" i="26"/>
  <c r="Y2656" i="26"/>
  <c r="Z2655" i="26"/>
  <c r="Y2657" i="26"/>
  <c r="Z2656" i="26"/>
  <c r="Y2658" i="26"/>
  <c r="Z2657" i="26"/>
  <c r="Y2659" i="26"/>
  <c r="Z2658" i="26"/>
  <c r="Z2659" i="26"/>
  <c r="Y2660" i="26"/>
  <c r="Y2661" i="26"/>
  <c r="Z2660" i="26"/>
  <c r="Y2662" i="26"/>
  <c r="Z2661" i="26"/>
  <c r="Y2663" i="26"/>
  <c r="Z2662" i="26"/>
  <c r="Z2663" i="26"/>
  <c r="Y2664" i="26"/>
  <c r="Z2664" i="26"/>
  <c r="Y2665" i="26"/>
  <c r="Z2665" i="26"/>
  <c r="Y2666" i="26"/>
  <c r="Z2666" i="26"/>
  <c r="Y2667" i="26"/>
  <c r="Y2668" i="26"/>
  <c r="Z2667" i="26"/>
  <c r="Y2669" i="26"/>
  <c r="Z2668" i="26"/>
  <c r="Y2670" i="26"/>
  <c r="Z2669" i="26"/>
  <c r="Z2670" i="26"/>
  <c r="Y2671" i="26"/>
  <c r="Z2671" i="26"/>
  <c r="Y2672" i="26"/>
  <c r="Z2672" i="26"/>
  <c r="Y2673" i="26"/>
  <c r="Y2674" i="26"/>
  <c r="Z2673" i="26"/>
  <c r="Z2674" i="26"/>
  <c r="Y2675" i="26"/>
  <c r="Z2675" i="26"/>
  <c r="Y2676" i="26"/>
  <c r="Y2677" i="26"/>
  <c r="Z2676" i="26"/>
  <c r="Y2678" i="26"/>
  <c r="Z2677" i="26"/>
  <c r="Y2679" i="26"/>
  <c r="Z2678" i="26"/>
  <c r="Z2679" i="26"/>
  <c r="Y2680" i="26"/>
  <c r="Y2681" i="26"/>
  <c r="Z2680" i="26"/>
  <c r="Y2682" i="26"/>
  <c r="Z2681" i="26"/>
  <c r="Y2683" i="26"/>
  <c r="Z2682" i="26"/>
  <c r="Z2683" i="26"/>
  <c r="Y2684" i="26"/>
  <c r="Z2684" i="26"/>
  <c r="Y2685" i="26"/>
  <c r="Z2685" i="26"/>
  <c r="Y2686" i="26"/>
  <c r="Y2687" i="26"/>
  <c r="Z2686" i="26"/>
  <c r="Y2688" i="26"/>
  <c r="Z2687" i="26"/>
  <c r="Y2689" i="26"/>
  <c r="Z2688" i="26"/>
  <c r="Y2690" i="26"/>
  <c r="Z2689" i="26"/>
  <c r="Z2690" i="26"/>
  <c r="Y2691" i="26"/>
  <c r="Z2691" i="26"/>
  <c r="Y2692" i="26"/>
  <c r="Y2693" i="26"/>
  <c r="Z2692" i="26"/>
  <c r="Y2694" i="26"/>
  <c r="Z2693" i="26"/>
  <c r="Z2694" i="26"/>
  <c r="Y2695" i="26"/>
  <c r="Y2696" i="26"/>
  <c r="Z2695" i="26"/>
  <c r="Y2697" i="26"/>
  <c r="Z2696" i="26"/>
  <c r="Z2697" i="26"/>
  <c r="Y2698" i="26"/>
  <c r="Z2698" i="26"/>
  <c r="Y2699" i="26"/>
  <c r="Y2700" i="26"/>
  <c r="Z2699" i="26"/>
  <c r="Y2701" i="26"/>
  <c r="Z2700" i="26"/>
  <c r="Y2702" i="26"/>
  <c r="Z2701" i="26"/>
  <c r="Y2703" i="26"/>
  <c r="Z2702" i="26"/>
  <c r="Z2703" i="26"/>
  <c r="Y2704" i="26"/>
  <c r="Y2705" i="26"/>
  <c r="Z2704" i="26"/>
  <c r="Y2706" i="26"/>
  <c r="Z2705" i="26"/>
  <c r="Z2706" i="26"/>
  <c r="Y2707" i="26"/>
  <c r="Z2707" i="26"/>
  <c r="Y2708" i="26"/>
  <c r="Y2709" i="26"/>
  <c r="Z2708" i="26"/>
  <c r="Y2710" i="26"/>
  <c r="Z2709" i="26"/>
  <c r="Y2711" i="26"/>
  <c r="Z2710" i="26"/>
  <c r="Y2712" i="26"/>
  <c r="Z2711" i="26"/>
  <c r="Y2713" i="26"/>
  <c r="Z2712" i="26"/>
  <c r="Z2713" i="26"/>
  <c r="Y2714" i="26"/>
  <c r="Y2715" i="26"/>
  <c r="Z2714" i="26"/>
  <c r="Y2716" i="26"/>
  <c r="Z2715" i="26"/>
  <c r="Z2716" i="26"/>
  <c r="Y2717" i="26"/>
  <c r="Z2717" i="26"/>
  <c r="Y2718" i="26"/>
  <c r="Y2719" i="26"/>
  <c r="Z2718" i="26"/>
  <c r="Y2720" i="26"/>
  <c r="Z2719" i="26"/>
  <c r="Y2721" i="26"/>
  <c r="Z2720" i="26"/>
  <c r="Y2722" i="26"/>
  <c r="Z2721" i="26"/>
  <c r="Z2722" i="26"/>
  <c r="Y2723" i="26"/>
  <c r="Y2724" i="26"/>
  <c r="Z2723" i="26"/>
  <c r="Y2725" i="26"/>
  <c r="Z2724" i="26"/>
  <c r="Z2725" i="26"/>
  <c r="Y2726" i="26"/>
  <c r="Y2727" i="26"/>
  <c r="Z2726" i="26"/>
  <c r="Z2727" i="26"/>
  <c r="Y2728" i="26"/>
  <c r="Y2729" i="26"/>
  <c r="Z2728" i="26"/>
  <c r="Z2729" i="26"/>
  <c r="Y2730" i="26"/>
  <c r="Z2730" i="26"/>
  <c r="Y2731" i="26"/>
  <c r="Z2731" i="26"/>
  <c r="Y2732" i="26"/>
  <c r="Y2733" i="26"/>
  <c r="Z2732" i="26"/>
  <c r="Z2733" i="26"/>
  <c r="Y2734" i="26"/>
  <c r="Y2735" i="26"/>
  <c r="Z2734" i="26"/>
  <c r="Y2736" i="26"/>
  <c r="Z2735" i="26"/>
  <c r="Z2736" i="26"/>
  <c r="Y2737" i="26"/>
  <c r="Z2737" i="26"/>
  <c r="Y2738" i="26"/>
  <c r="Y2739" i="26"/>
  <c r="Z2738" i="26"/>
  <c r="Z2739" i="26"/>
  <c r="Y2740" i="26"/>
  <c r="Z2740" i="26"/>
  <c r="Y2741" i="26"/>
  <c r="Z2741" i="26"/>
  <c r="Y2742" i="26"/>
  <c r="Z2742" i="26"/>
  <c r="Y2743" i="26"/>
  <c r="Y2744" i="26"/>
  <c r="Z2743" i="26"/>
  <c r="Y2745" i="26"/>
  <c r="Z2744" i="26"/>
  <c r="Z2745" i="26"/>
  <c r="Y2746" i="26"/>
  <c r="Y2747" i="26"/>
  <c r="Z2746" i="26"/>
  <c r="Z2747" i="26"/>
  <c r="Y2748" i="26"/>
  <c r="Y2749" i="26"/>
  <c r="Z2748" i="26"/>
  <c r="Z2749" i="26"/>
  <c r="Y2750" i="26"/>
  <c r="Z2750" i="26"/>
  <c r="Y2751" i="26"/>
  <c r="Z2751" i="26"/>
  <c r="Y2752" i="26"/>
  <c r="Y2753" i="26"/>
  <c r="Z2752" i="26"/>
  <c r="Y2754" i="26"/>
  <c r="Z2753" i="26"/>
  <c r="Z2754" i="26"/>
  <c r="Y2755" i="26"/>
  <c r="Z2755" i="26"/>
  <c r="Y2756" i="26"/>
  <c r="Y2757" i="26"/>
  <c r="Z2756" i="26"/>
  <c r="Z2757" i="26"/>
  <c r="Y2758" i="26"/>
  <c r="Y2759" i="26"/>
  <c r="Z2758" i="26"/>
  <c r="Y2760" i="26"/>
  <c r="Z2759" i="26"/>
  <c r="Z2760" i="26"/>
  <c r="Y2761" i="26"/>
  <c r="Y2762" i="26"/>
  <c r="Z2761" i="26"/>
  <c r="Y2763" i="26"/>
  <c r="Z2762" i="26"/>
  <c r="Z2763" i="26"/>
  <c r="Y2764" i="26"/>
  <c r="Y2765" i="26"/>
  <c r="Z2764" i="26"/>
  <c r="Y2766" i="26"/>
  <c r="Z2765" i="26"/>
  <c r="Z2766" i="26"/>
  <c r="Y2767" i="26"/>
  <c r="Z2767" i="26"/>
  <c r="Y2768" i="26"/>
  <c r="Y2769" i="26"/>
  <c r="Z2768" i="26"/>
  <c r="Y2770" i="26"/>
  <c r="Z2769" i="26"/>
  <c r="Z2770" i="26"/>
  <c r="Y2771" i="26"/>
  <c r="Y2772" i="26"/>
  <c r="Z2771" i="26"/>
  <c r="Y2773" i="26"/>
  <c r="Z2772" i="26"/>
  <c r="Z2773" i="26"/>
  <c r="Y2774" i="26"/>
  <c r="Y2775" i="26"/>
  <c r="Z2774" i="26"/>
  <c r="Z2775" i="26"/>
  <c r="Y2776" i="26"/>
  <c r="Y2777" i="26"/>
  <c r="Z2776" i="26"/>
  <c r="Z2777" i="26"/>
  <c r="Y2778" i="26"/>
  <c r="Z2778" i="26"/>
  <c r="Y2779" i="26"/>
  <c r="Y2780" i="26"/>
  <c r="Z2779" i="26"/>
  <c r="Z2780" i="26"/>
  <c r="Y2781" i="26"/>
  <c r="Z2781" i="26"/>
  <c r="Y2782" i="26"/>
  <c r="Y2783" i="26"/>
  <c r="Z2782" i="26"/>
  <c r="Y2784" i="26"/>
  <c r="Z2783" i="26"/>
  <c r="Z2784" i="26"/>
  <c r="Y2785" i="26"/>
  <c r="Z2785" i="26"/>
  <c r="Y2786" i="26"/>
  <c r="Y2787" i="26"/>
  <c r="Z2786" i="26"/>
  <c r="Y2788" i="26"/>
  <c r="Z2787" i="26"/>
  <c r="Y2789" i="26"/>
  <c r="Z2788" i="26"/>
  <c r="Y2790" i="26"/>
  <c r="Z2789" i="26"/>
  <c r="Y2791" i="26"/>
  <c r="Z2790" i="26"/>
  <c r="Z2791" i="26"/>
  <c r="Y2792" i="26"/>
  <c r="Z2792" i="26"/>
  <c r="Y2793" i="26"/>
  <c r="Z2793" i="26"/>
  <c r="Y2794" i="26"/>
  <c r="Y2795" i="26"/>
  <c r="Z2794" i="26"/>
  <c r="Z2795" i="26"/>
  <c r="Y2796" i="26"/>
  <c r="Z2796" i="26"/>
  <c r="Y2797" i="26"/>
  <c r="Y2798" i="26"/>
  <c r="Z2797" i="26"/>
  <c r="Z2798" i="26"/>
  <c r="Y2799" i="26"/>
  <c r="Z2799" i="26"/>
  <c r="Y2800" i="26"/>
  <c r="Y2801" i="26"/>
  <c r="Z2800" i="26"/>
  <c r="Z2801" i="26"/>
  <c r="Y2802" i="26"/>
  <c r="Y2803" i="26"/>
  <c r="Z2802" i="26"/>
  <c r="Z2803" i="26"/>
  <c r="Y2804" i="26"/>
  <c r="Y2805" i="26"/>
  <c r="Z2804" i="26"/>
  <c r="Z2805" i="26"/>
  <c r="Y2806" i="26"/>
  <c r="Y2807" i="26"/>
  <c r="Z2806" i="26"/>
  <c r="Y2808" i="26"/>
  <c r="Z2807" i="26"/>
  <c r="Z2808" i="26"/>
  <c r="Y2809" i="26"/>
  <c r="Y2810" i="26"/>
  <c r="Z2809" i="26"/>
  <c r="Z2810" i="26"/>
  <c r="Y2811" i="26"/>
  <c r="Y2812" i="26"/>
  <c r="Z2811" i="26"/>
  <c r="Z2812" i="26"/>
  <c r="Y2813" i="26"/>
  <c r="Z2813" i="26"/>
  <c r="Y2814" i="26"/>
  <c r="Z2814" i="26"/>
  <c r="Y2815" i="26"/>
  <c r="Y2816" i="26"/>
  <c r="Z2815" i="26"/>
  <c r="Z2816" i="26"/>
  <c r="Y2817" i="26"/>
  <c r="Y2818" i="26"/>
  <c r="Z2817" i="26"/>
  <c r="Y2819" i="26"/>
  <c r="Z2818" i="26"/>
  <c r="Y2820" i="26"/>
  <c r="Z2819" i="26"/>
  <c r="Z2820" i="26"/>
  <c r="Y2821" i="26"/>
  <c r="Y2822" i="26"/>
  <c r="Z2821" i="26"/>
  <c r="Z2822" i="26"/>
  <c r="Y2823" i="26"/>
  <c r="Z2823" i="26"/>
  <c r="Y2824" i="26"/>
  <c r="Y2825" i="26"/>
  <c r="Z2824" i="26"/>
  <c r="Z2825" i="26"/>
  <c r="Y2826" i="26"/>
  <c r="Y2827" i="26"/>
  <c r="Z2826" i="26"/>
  <c r="Y2828" i="26"/>
  <c r="Z2827" i="26"/>
  <c r="Y2829" i="26"/>
  <c r="Z2828" i="26"/>
  <c r="Z2829" i="26"/>
  <c r="Y2830" i="26"/>
  <c r="Y2831" i="26"/>
  <c r="Z2830" i="26"/>
  <c r="Y2832" i="26"/>
  <c r="Z2831" i="26"/>
  <c r="Z2832" i="26"/>
  <c r="Y2833" i="26"/>
  <c r="Z2833" i="26"/>
  <c r="Y2834" i="26"/>
  <c r="Y2835" i="26"/>
  <c r="Z2834" i="26"/>
  <c r="Z2835" i="26"/>
  <c r="Y2836" i="26"/>
  <c r="Z2836" i="26"/>
  <c r="Y2837" i="26"/>
  <c r="Y2838" i="26"/>
  <c r="Z2837" i="26"/>
  <c r="Z2838" i="26"/>
  <c r="Y2839" i="26"/>
  <c r="Y2840" i="26"/>
  <c r="Z2839" i="26"/>
  <c r="Z2840" i="26"/>
  <c r="Y2841" i="26"/>
  <c r="Y2842" i="26"/>
  <c r="Z2841" i="26"/>
  <c r="Z2842" i="26"/>
  <c r="Y2843" i="26"/>
  <c r="Y2844" i="26"/>
  <c r="Z2843" i="26"/>
  <c r="Y2845" i="26"/>
  <c r="Z2844" i="26"/>
  <c r="Z2845" i="26"/>
  <c r="Y2846" i="26"/>
  <c r="Y2847" i="26"/>
  <c r="Z2846" i="26"/>
  <c r="Z2847" i="26"/>
  <c r="Y2848" i="26"/>
  <c r="Z2848" i="26"/>
  <c r="Y2849" i="26"/>
  <c r="Z2849" i="26"/>
  <c r="Y2850" i="26"/>
  <c r="Z2850" i="26"/>
  <c r="Y2851" i="26"/>
  <c r="Y2852" i="26"/>
  <c r="Z2851" i="26"/>
  <c r="Z2852" i="26"/>
  <c r="Y2853" i="26"/>
  <c r="Y2854" i="26"/>
  <c r="Z2853" i="26"/>
  <c r="Z2854" i="26"/>
  <c r="Y2855" i="26"/>
  <c r="Z2855" i="26"/>
  <c r="Y2856" i="26"/>
  <c r="Z2856" i="26"/>
  <c r="Y2857" i="26"/>
  <c r="Z2857" i="26"/>
  <c r="Y2858" i="26"/>
  <c r="Y2859" i="26"/>
  <c r="Z2858" i="26"/>
  <c r="Z2859" i="26"/>
  <c r="Y2860" i="26"/>
  <c r="Y2861" i="26"/>
  <c r="Z2860" i="26"/>
  <c r="Z2861" i="26"/>
  <c r="Y2862" i="26"/>
  <c r="Y2863" i="26"/>
  <c r="Z2862" i="26"/>
  <c r="Y2864" i="26"/>
  <c r="Z2863" i="26"/>
  <c r="Y2865" i="26"/>
  <c r="Z2864" i="26"/>
  <c r="Y2866" i="26"/>
  <c r="Z2865" i="26"/>
  <c r="Y2867" i="26"/>
  <c r="Z2866" i="26"/>
  <c r="Z2867" i="26"/>
  <c r="Y2868" i="26"/>
  <c r="Z2868" i="26"/>
  <c r="Y2869" i="26"/>
  <c r="Z2869" i="26"/>
  <c r="Y2870" i="26"/>
  <c r="Z2870" i="26"/>
  <c r="Y2871" i="26"/>
  <c r="Y2872" i="26"/>
  <c r="Z2871" i="26"/>
  <c r="Z2872" i="26"/>
  <c r="Y2873" i="26"/>
  <c r="Y2874" i="26"/>
  <c r="Z2873" i="26"/>
  <c r="Y2875" i="26"/>
  <c r="Z2874" i="26"/>
  <c r="Z2875" i="26"/>
  <c r="Y2876" i="26"/>
  <c r="Y2877" i="26"/>
  <c r="Z2876" i="26"/>
  <c r="Y2878" i="26"/>
  <c r="Z2877" i="26"/>
  <c r="Y2879" i="26"/>
  <c r="Z2878" i="26"/>
  <c r="Z2879" i="26"/>
  <c r="Y2880" i="26"/>
  <c r="Y2881" i="26"/>
  <c r="Z2880" i="26"/>
  <c r="Z2881" i="26"/>
  <c r="Y2882" i="26"/>
  <c r="Z2882" i="26"/>
  <c r="Y2883" i="26"/>
  <c r="Y2884" i="26"/>
  <c r="Z2883" i="26"/>
  <c r="Z2884" i="26"/>
  <c r="Y2885" i="26"/>
  <c r="Z2885" i="26"/>
  <c r="Y2886" i="26"/>
  <c r="Z2886" i="26"/>
  <c r="Y2887" i="26"/>
  <c r="Y2888" i="26"/>
  <c r="Z2887" i="26"/>
  <c r="Y2889" i="26"/>
  <c r="Z2888" i="26"/>
  <c r="Z2889" i="26"/>
  <c r="Y2890" i="26"/>
  <c r="Y2891" i="26"/>
  <c r="Z2890" i="26"/>
  <c r="Z2891" i="26"/>
  <c r="Y2892" i="26"/>
  <c r="Z2892" i="26"/>
  <c r="Y2893" i="26"/>
  <c r="Y2894" i="26"/>
  <c r="Z2893" i="26"/>
  <c r="Y2895" i="26"/>
  <c r="Z2894" i="26"/>
  <c r="Y2896" i="26"/>
  <c r="Z2895" i="26"/>
  <c r="Y2897" i="26"/>
  <c r="Z2896" i="26"/>
  <c r="Z2897" i="26"/>
  <c r="Y2898" i="26"/>
  <c r="Y2899" i="26"/>
  <c r="Z2898" i="26"/>
  <c r="Y2900" i="26"/>
  <c r="Z2899" i="26"/>
  <c r="Z2900" i="26"/>
  <c r="Y2901" i="26"/>
  <c r="Z2901" i="26"/>
  <c r="Y2902" i="26"/>
  <c r="Y2903" i="26"/>
  <c r="Z2902" i="26"/>
  <c r="Z2903" i="26"/>
  <c r="Y2904" i="26"/>
  <c r="Y2905" i="26"/>
  <c r="Z2904" i="26"/>
  <c r="Z2905" i="26"/>
  <c r="Y2906" i="26"/>
  <c r="Z2906" i="26"/>
  <c r="Y2907" i="26"/>
  <c r="Y2908" i="26"/>
  <c r="Z2907" i="26"/>
  <c r="Z2908" i="26"/>
  <c r="Y2909" i="26"/>
  <c r="Y2910" i="26"/>
  <c r="Z2909" i="26"/>
  <c r="Y2911" i="26"/>
  <c r="Z2910" i="26"/>
  <c r="Z2911" i="26"/>
  <c r="Y2912" i="26"/>
  <c r="Z2912" i="26"/>
  <c r="Y2913" i="26"/>
  <c r="Z2913" i="26"/>
  <c r="Y2914" i="26"/>
  <c r="Y2915" i="26"/>
  <c r="Z2914" i="26"/>
  <c r="Y2916" i="26"/>
  <c r="Z2915" i="26"/>
  <c r="Y2917" i="26"/>
  <c r="Z2916" i="26"/>
  <c r="Z2917" i="26"/>
  <c r="Y2918" i="26"/>
  <c r="Y2919" i="26"/>
  <c r="Z2918" i="26"/>
  <c r="Z2919" i="26"/>
  <c r="Y2920" i="26"/>
  <c r="Z2920" i="26"/>
  <c r="Y2921" i="26"/>
  <c r="Z2921" i="26"/>
  <c r="Y2922" i="26"/>
  <c r="Y2923" i="26"/>
  <c r="Z2922" i="26"/>
  <c r="Y2924" i="26"/>
  <c r="Z2923" i="26"/>
  <c r="Z2924" i="26"/>
  <c r="Y2925" i="26"/>
  <c r="Z2925" i="26"/>
  <c r="Y2926" i="26"/>
  <c r="Y2927" i="26"/>
  <c r="Z2926" i="26"/>
  <c r="Y2928" i="26"/>
  <c r="Z2927" i="26"/>
  <c r="Z2928" i="26"/>
  <c r="Y2929" i="26"/>
  <c r="Z2929" i="26"/>
  <c r="Y2930" i="26"/>
  <c r="Z2930" i="26"/>
  <c r="Y2931" i="26"/>
  <c r="Y2932" i="26"/>
  <c r="Z2931" i="26"/>
  <c r="Y2933" i="26"/>
  <c r="Z2932" i="26"/>
  <c r="Y2934" i="26"/>
  <c r="Z2933" i="26"/>
  <c r="Z2934" i="26"/>
  <c r="Y2935" i="26"/>
  <c r="Y2936" i="26"/>
  <c r="Z2935" i="26"/>
  <c r="Z2936" i="26"/>
  <c r="Y2937" i="26"/>
  <c r="Y2938" i="26"/>
  <c r="Z2937" i="26"/>
  <c r="Z2938" i="26"/>
  <c r="Y2939" i="26"/>
  <c r="Y2940" i="26"/>
  <c r="Z2939" i="26"/>
  <c r="Z2940" i="26"/>
  <c r="Y2941" i="26"/>
  <c r="Z2941" i="26"/>
  <c r="Y2942" i="26"/>
  <c r="Y2943" i="26"/>
  <c r="Z2942" i="26"/>
  <c r="Y2944" i="26"/>
  <c r="Z2943" i="26"/>
  <c r="Z2944" i="26"/>
  <c r="Y2945" i="26"/>
  <c r="Z2945" i="26"/>
  <c r="Y2946" i="26"/>
  <c r="Z2946" i="26"/>
  <c r="Y2947" i="26"/>
  <c r="Z2947" i="26"/>
  <c r="Y2948" i="26"/>
  <c r="Y2949" i="26"/>
  <c r="Z2948" i="26"/>
  <c r="Z2949" i="26"/>
  <c r="Y2950" i="26"/>
  <c r="Y2951" i="26"/>
  <c r="Z2950" i="26"/>
  <c r="Z2951" i="26"/>
  <c r="Y2952" i="26"/>
  <c r="Y2953" i="26"/>
  <c r="Z2952" i="26"/>
  <c r="Y2954" i="26"/>
  <c r="Z2953" i="26"/>
  <c r="Z2954" i="26"/>
  <c r="Y2955" i="26"/>
  <c r="Z2955" i="26"/>
  <c r="Y2956" i="26"/>
  <c r="Z2956" i="26"/>
  <c r="Y2957" i="26"/>
  <c r="Y2958" i="26"/>
  <c r="Z2957" i="26"/>
  <c r="Z2958" i="26"/>
  <c r="Y2959" i="26"/>
  <c r="Z2959" i="26"/>
  <c r="Y2960" i="26"/>
  <c r="Y2961" i="26"/>
  <c r="Z2960" i="26"/>
  <c r="Z2961" i="26"/>
  <c r="Y2962" i="26"/>
  <c r="Y2963" i="26"/>
  <c r="Z2962" i="26"/>
  <c r="Y2964" i="26"/>
  <c r="Z2963" i="26"/>
  <c r="Z2964" i="26"/>
  <c r="Y2965" i="26"/>
  <c r="Y2966" i="26"/>
  <c r="Z2965" i="26"/>
  <c r="Z2966" i="26"/>
  <c r="Y2967" i="26"/>
  <c r="Y2968" i="26"/>
  <c r="Z2967" i="26"/>
  <c r="Y2969" i="26"/>
  <c r="Z2968" i="26"/>
  <c r="Y2970" i="26"/>
  <c r="Z2969" i="26"/>
  <c r="Z2970" i="26"/>
  <c r="Y2971" i="26"/>
  <c r="Y2972" i="26"/>
  <c r="Z2971" i="26"/>
  <c r="Y2973" i="26"/>
  <c r="Z2972" i="26"/>
  <c r="Z2973" i="26"/>
  <c r="Y2974" i="26"/>
  <c r="Y2975" i="26"/>
  <c r="Z2974" i="26"/>
  <c r="Z2975" i="26"/>
  <c r="Y2976" i="26"/>
  <c r="Y2977" i="26"/>
  <c r="Z2976" i="26"/>
  <c r="Z2977" i="26"/>
  <c r="Y2978" i="26"/>
  <c r="Y2979" i="26"/>
  <c r="Z2978" i="26"/>
  <c r="Z2979" i="26"/>
  <c r="Y2980" i="26"/>
  <c r="Y2981" i="26"/>
  <c r="Z2980" i="26"/>
  <c r="Z2981" i="26"/>
  <c r="Y2982" i="26"/>
  <c r="Y2983" i="26"/>
  <c r="Z2982" i="26"/>
  <c r="Z2983" i="26"/>
  <c r="Y2984" i="26"/>
  <c r="Y2985" i="26"/>
  <c r="Z2984" i="26"/>
  <c r="Y2986" i="26"/>
  <c r="Z2985" i="26"/>
  <c r="Y2987" i="26"/>
  <c r="Z2986" i="26"/>
  <c r="Y2988" i="26"/>
  <c r="Z2987" i="26"/>
  <c r="Y2989" i="26"/>
  <c r="Z2988" i="26"/>
  <c r="Y2990" i="26"/>
  <c r="Z2989" i="26"/>
  <c r="Y2991" i="26"/>
  <c r="Z2990" i="26"/>
  <c r="Y2992" i="26"/>
  <c r="Z2991" i="26"/>
  <c r="Y2993" i="26"/>
  <c r="Z2992" i="26"/>
  <c r="Y2994" i="26"/>
  <c r="Z2993" i="26"/>
  <c r="Y2995" i="26"/>
  <c r="Z2994" i="26"/>
  <c r="Y2996" i="26"/>
  <c r="Z2995" i="26"/>
  <c r="Y2997" i="26"/>
  <c r="Z2996" i="26"/>
  <c r="Z2997" i="26"/>
  <c r="Y2998" i="26"/>
  <c r="Z2998" i="26"/>
  <c r="Y2999" i="26"/>
  <c r="Y3000" i="26"/>
  <c r="Z2999" i="26"/>
  <c r="Z3000" i="26"/>
  <c r="Y3001" i="26"/>
  <c r="Y3002" i="26"/>
  <c r="Z3001" i="26"/>
  <c r="Z3002" i="26"/>
  <c r="Y3003" i="26"/>
  <c r="Y3004" i="26"/>
  <c r="Z3003" i="26"/>
  <c r="Y3005" i="26"/>
  <c r="Z3004" i="26"/>
  <c r="Y3006" i="26"/>
  <c r="Z3005" i="26"/>
  <c r="Y3007" i="26"/>
  <c r="Z3006" i="26"/>
  <c r="Y3008" i="26"/>
  <c r="Z3007" i="26"/>
  <c r="Y3009" i="26"/>
  <c r="Z3008" i="26"/>
  <c r="Z3009" i="26"/>
  <c r="Y3010" i="26"/>
  <c r="Z3010" i="26"/>
  <c r="Y3011" i="26"/>
  <c r="Y3012" i="26"/>
  <c r="Z3011" i="26"/>
  <c r="Y3013" i="26"/>
  <c r="Z3012" i="26"/>
  <c r="Y3014" i="26"/>
  <c r="Z3013" i="26"/>
  <c r="Z3014" i="26"/>
  <c r="Y3015" i="26"/>
  <c r="Z3015" i="26"/>
  <c r="Y3016" i="26"/>
  <c r="Z3016" i="26"/>
  <c r="Y3017" i="26"/>
  <c r="Y3018" i="26"/>
  <c r="Z3017" i="26"/>
  <c r="Z3018" i="26"/>
  <c r="Y3019" i="26"/>
  <c r="Z3019" i="26"/>
  <c r="Y3020" i="26"/>
  <c r="Z3020" i="26"/>
  <c r="Y3021" i="26"/>
  <c r="Z3021" i="26"/>
  <c r="Y3022" i="26"/>
  <c r="Z3022" i="26"/>
  <c r="Y3023" i="26"/>
  <c r="Y3024" i="26"/>
  <c r="Z3023" i="26"/>
  <c r="Z3024" i="26"/>
  <c r="Y3025" i="26"/>
  <c r="Z3025" i="26"/>
  <c r="Y3026" i="26"/>
  <c r="Z3026" i="26"/>
  <c r="Y3027" i="26"/>
  <c r="Z3027" i="26"/>
  <c r="Y3028" i="26"/>
  <c r="Z3028" i="26"/>
  <c r="Y3029" i="26"/>
  <c r="Y3030" i="26"/>
  <c r="Z3029" i="26"/>
  <c r="Z3030" i="26"/>
  <c r="Y3031" i="26"/>
  <c r="Y3032" i="26"/>
  <c r="Z3031" i="26"/>
  <c r="Z3032" i="26"/>
  <c r="Y3033" i="26"/>
  <c r="Z3033" i="26"/>
  <c r="Y3034" i="26"/>
  <c r="Y3035" i="26"/>
  <c r="Z3034" i="26"/>
  <c r="Z3035" i="26"/>
  <c r="Y3036" i="26"/>
  <c r="Y3037" i="26"/>
  <c r="Z3036" i="26"/>
  <c r="Y3038" i="26"/>
  <c r="Z3037" i="26"/>
  <c r="Z3038" i="26"/>
  <c r="Y3039" i="26"/>
  <c r="Y3040" i="26"/>
  <c r="Z3039" i="26"/>
  <c r="Y3041" i="26"/>
  <c r="Z3040" i="26"/>
  <c r="Y3042" i="26"/>
  <c r="Z3041" i="26"/>
  <c r="Z3042" i="26"/>
  <c r="Y3043" i="26"/>
  <c r="Z3043" i="26"/>
  <c r="Y3044" i="26"/>
  <c r="Z3044" i="26"/>
  <c r="Y3045" i="26"/>
  <c r="Y3046" i="26"/>
  <c r="Z3045" i="26"/>
  <c r="Y3047" i="26"/>
  <c r="Z3046" i="26"/>
  <c r="Z3047" i="26"/>
  <c r="Y3048" i="26"/>
  <c r="Y3049" i="26"/>
  <c r="Z3048" i="26"/>
  <c r="Z3049" i="26"/>
  <c r="Y3050" i="26"/>
  <c r="Y3051" i="26"/>
  <c r="Z3050" i="26"/>
  <c r="Y3052" i="26"/>
  <c r="Z3051" i="26"/>
  <c r="Z3052" i="26"/>
  <c r="Y3053" i="26"/>
  <c r="Y3054" i="26"/>
  <c r="Z3053" i="26"/>
  <c r="Y3055" i="26"/>
  <c r="Z3054" i="26"/>
  <c r="Y3056" i="26"/>
  <c r="Z3055" i="26"/>
  <c r="Y3057" i="26"/>
  <c r="Z3056" i="26"/>
  <c r="Y3058" i="26"/>
  <c r="Z3057" i="26"/>
  <c r="Z3058" i="26"/>
  <c r="Y3059" i="26"/>
  <c r="Y3060" i="26"/>
  <c r="Z3059" i="26"/>
  <c r="Y3061" i="26"/>
  <c r="Z3060" i="26"/>
  <c r="Y3062" i="26"/>
  <c r="Z3061" i="26"/>
  <c r="Z3062" i="26"/>
  <c r="Y3063" i="26"/>
  <c r="Y3064" i="26"/>
  <c r="Z3063" i="26"/>
  <c r="Y3065" i="26"/>
  <c r="Z3064" i="26"/>
  <c r="Z3065" i="26"/>
  <c r="Y3066" i="26"/>
  <c r="Z3066" i="26"/>
  <c r="Y3067" i="26"/>
  <c r="Z3067" i="26"/>
  <c r="Y3068" i="26"/>
  <c r="Y3069" i="26"/>
  <c r="Z3068" i="26"/>
  <c r="Z3069" i="26"/>
  <c r="Y3070" i="26"/>
  <c r="Z3070" i="26"/>
  <c r="Y3071" i="26"/>
  <c r="Y3072" i="26"/>
  <c r="Z3071" i="26"/>
  <c r="Z3072" i="26"/>
  <c r="Y3073" i="26"/>
  <c r="Y3074" i="26"/>
  <c r="Z3073" i="26"/>
  <c r="Z3074" i="26"/>
  <c r="Y3075" i="26"/>
  <c r="Z3075" i="26"/>
  <c r="Y3076" i="26"/>
  <c r="Z3076" i="26"/>
  <c r="Y3077" i="26"/>
  <c r="Y3078" i="26"/>
  <c r="Z3077" i="26"/>
  <c r="Y3079" i="26"/>
  <c r="Z3078" i="26"/>
  <c r="Y3080" i="26"/>
  <c r="Z3079" i="26"/>
  <c r="Y3081" i="26"/>
  <c r="Z3080" i="26"/>
  <c r="Y3082" i="26"/>
  <c r="Z3081" i="26"/>
  <c r="Y3083" i="26"/>
  <c r="Z3082" i="26"/>
  <c r="Y3084" i="26"/>
  <c r="Z3083" i="26"/>
  <c r="Z3084" i="26"/>
  <c r="Y3085" i="26"/>
  <c r="Y3086" i="26"/>
  <c r="Z3085" i="26"/>
  <c r="Z3086" i="26"/>
  <c r="Y3087" i="26"/>
  <c r="Y3088" i="26"/>
  <c r="Z3087" i="26"/>
  <c r="Z3088" i="26"/>
  <c r="Y3089" i="26"/>
  <c r="Z3089" i="26"/>
  <c r="Y3090" i="26"/>
  <c r="Y3091" i="26"/>
  <c r="Z3090" i="26"/>
  <c r="Z3091" i="26"/>
  <c r="Y3092" i="26"/>
  <c r="Z3092" i="26"/>
  <c r="Y3093" i="26"/>
  <c r="Y3094" i="26"/>
  <c r="Z3093" i="26"/>
  <c r="Y3095" i="26"/>
  <c r="Z3094" i="26"/>
  <c r="Y3096" i="26"/>
  <c r="Z3095" i="26"/>
  <c r="Y3097" i="26"/>
  <c r="Z3096" i="26"/>
  <c r="Y3098" i="26"/>
  <c r="Z3097" i="26"/>
  <c r="Z3098" i="26"/>
  <c r="Y3099" i="26"/>
  <c r="Z3099" i="26"/>
  <c r="Y3100" i="26"/>
  <c r="Z3100" i="26"/>
  <c r="Y3101" i="26"/>
  <c r="Z3101" i="26"/>
  <c r="Y3102" i="26"/>
  <c r="Y3103" i="26"/>
  <c r="Z3102" i="26"/>
  <c r="Y3104" i="26"/>
  <c r="Z3103" i="26"/>
  <c r="Y3105" i="26"/>
  <c r="Z3104" i="26"/>
  <c r="Y3106" i="26"/>
  <c r="Z3105" i="26"/>
  <c r="Z3106" i="26"/>
  <c r="Y3107" i="26"/>
  <c r="Y3108" i="26"/>
  <c r="Z3107" i="26"/>
  <c r="Y3109" i="26"/>
  <c r="Z3108" i="26"/>
  <c r="Y3110" i="26"/>
  <c r="Z3109" i="26"/>
  <c r="Z3110" i="26"/>
  <c r="Y3111" i="26"/>
  <c r="Y3112" i="26"/>
  <c r="Z3111" i="26"/>
  <c r="Y3113" i="26"/>
  <c r="Z3112" i="26"/>
  <c r="Z3113" i="26"/>
  <c r="Y3114" i="26"/>
  <c r="Z3114" i="26"/>
  <c r="Y3115" i="26"/>
  <c r="Y3116" i="26"/>
  <c r="Z3115" i="26"/>
  <c r="Z3116" i="26"/>
  <c r="Y3117" i="26"/>
  <c r="Y3118" i="26"/>
  <c r="Z3117" i="26"/>
  <c r="Y3119" i="26"/>
  <c r="Z3118" i="26"/>
  <c r="Z3119" i="26"/>
  <c r="Y3120" i="26"/>
  <c r="Z3120" i="26"/>
  <c r="Y3121" i="26"/>
  <c r="Y3122" i="26"/>
  <c r="Z3121" i="26"/>
  <c r="Y3123" i="26"/>
  <c r="Z3122" i="26"/>
  <c r="Y3124" i="26"/>
  <c r="Z3123" i="26"/>
  <c r="Y3125" i="26"/>
  <c r="Z3124" i="26"/>
  <c r="Y3126" i="26"/>
  <c r="Z3125" i="26"/>
  <c r="Y3127" i="26"/>
  <c r="Z3126" i="26"/>
  <c r="Z3127" i="26"/>
  <c r="Y3128" i="26"/>
  <c r="Z3128" i="26"/>
  <c r="Y3129" i="26"/>
  <c r="Z3129" i="26"/>
  <c r="Y3130" i="26"/>
  <c r="Z3130" i="26"/>
  <c r="Y3131" i="26"/>
  <c r="Y3132" i="26"/>
  <c r="Z3131" i="26"/>
  <c r="Z3132" i="26"/>
  <c r="Y3133" i="26"/>
  <c r="Y3134" i="26"/>
  <c r="Z3133" i="26"/>
  <c r="Y3135" i="26"/>
  <c r="Z3134" i="26"/>
  <c r="Z3135" i="26"/>
  <c r="Y3136" i="26"/>
  <c r="Y3137" i="26"/>
  <c r="Z3136" i="26"/>
  <c r="Z3137" i="26"/>
  <c r="Y3138" i="26"/>
  <c r="Z3138" i="26"/>
  <c r="Y3139" i="26"/>
  <c r="Z3139" i="26"/>
  <c r="Y3140" i="26"/>
  <c r="Y3141" i="26"/>
  <c r="Z3140" i="26"/>
  <c r="Z3141" i="26"/>
  <c r="Y3142" i="26"/>
  <c r="Y3143" i="26"/>
  <c r="Z3142" i="26"/>
  <c r="Y3144" i="26"/>
  <c r="Z3143" i="26"/>
  <c r="Y3145" i="26"/>
  <c r="Z3144" i="26"/>
  <c r="Z3145" i="26"/>
  <c r="Y3146" i="26"/>
  <c r="Y3147" i="26"/>
  <c r="Z3146" i="26"/>
  <c r="Z3147" i="26"/>
  <c r="Y3148" i="26"/>
  <c r="Y3149" i="26"/>
  <c r="Z3148" i="26"/>
  <c r="Y3150" i="26"/>
  <c r="Z3149" i="26"/>
  <c r="Z3150" i="26"/>
  <c r="Y3151" i="26"/>
  <c r="Z3151" i="26"/>
  <c r="Y3152" i="26"/>
  <c r="Z3152" i="26"/>
  <c r="Y3153" i="26"/>
  <c r="Y3154" i="26"/>
  <c r="Z3153" i="26"/>
  <c r="Y3155" i="26"/>
  <c r="Z3154" i="26"/>
  <c r="Y3156" i="26"/>
  <c r="Z3155" i="26"/>
  <c r="Y3157" i="26"/>
  <c r="Z3156" i="26"/>
  <c r="Z3157" i="26"/>
  <c r="Y3158" i="26"/>
  <c r="Y3159" i="26"/>
  <c r="Z3158" i="26"/>
  <c r="Y3160" i="26"/>
  <c r="Z3159" i="26"/>
  <c r="Y3161" i="26"/>
  <c r="Z3160" i="26"/>
  <c r="Z3161" i="26"/>
  <c r="Y3162" i="26"/>
  <c r="Y3163" i="26"/>
  <c r="Z3162" i="26"/>
  <c r="Y3164" i="26"/>
  <c r="Z3163" i="26"/>
  <c r="Z3164" i="26"/>
  <c r="Y3165" i="26"/>
  <c r="Z3165" i="26"/>
  <c r="Y3166" i="26"/>
  <c r="Y3167" i="26"/>
  <c r="Z3166" i="26"/>
  <c r="Y3168" i="26"/>
  <c r="Z3167" i="26"/>
  <c r="Y3169" i="26"/>
  <c r="Z3168" i="26"/>
  <c r="Y3170" i="26"/>
  <c r="Z3169" i="26"/>
  <c r="Y3171" i="26"/>
  <c r="Z3170" i="26"/>
  <c r="Y3172" i="26"/>
  <c r="Z3171" i="26"/>
  <c r="Z3172" i="26"/>
  <c r="Y3173" i="26"/>
  <c r="Y3174" i="26"/>
  <c r="Z3173" i="26"/>
  <c r="Y3175" i="26"/>
  <c r="Z3174" i="26"/>
  <c r="Z3175" i="26"/>
  <c r="Y3176" i="26"/>
  <c r="Z3176" i="26"/>
  <c r="Y3177" i="26"/>
  <c r="Y3178" i="26"/>
  <c r="Z3177" i="26"/>
  <c r="Z3178" i="26"/>
  <c r="Y3179" i="26"/>
  <c r="Y3180" i="26"/>
  <c r="Z3179" i="26"/>
  <c r="Z3180" i="26"/>
  <c r="Y3181" i="26"/>
  <c r="Z3181" i="26"/>
  <c r="Y3182" i="26"/>
  <c r="Z3182" i="26"/>
  <c r="Y3183" i="26"/>
  <c r="Y3184" i="26"/>
  <c r="Z3183" i="26"/>
  <c r="Y3185" i="26"/>
  <c r="Z3184" i="26"/>
  <c r="Z3185" i="26"/>
  <c r="Y3186" i="26"/>
  <c r="Z3186" i="26"/>
  <c r="Y3187" i="26"/>
  <c r="Y3188" i="26"/>
  <c r="Z3187" i="26"/>
  <c r="Y3189" i="26"/>
  <c r="Z3188" i="26"/>
  <c r="Y3190" i="26"/>
  <c r="Z3189" i="26"/>
  <c r="Y3191" i="26"/>
  <c r="Z3190" i="26"/>
  <c r="Y3192" i="26"/>
  <c r="Z3191" i="26"/>
  <c r="Z3192" i="26"/>
  <c r="Y3193" i="26"/>
  <c r="Y3194" i="26"/>
  <c r="Z3193" i="26"/>
  <c r="Y3195" i="26"/>
  <c r="Z3194" i="26"/>
  <c r="Y3196" i="26"/>
  <c r="Z3195" i="26"/>
  <c r="Z3196" i="26"/>
  <c r="Y3197" i="26"/>
  <c r="Y3198" i="26"/>
  <c r="Z3197" i="26"/>
  <c r="Y3199" i="26"/>
  <c r="Z3198" i="26"/>
  <c r="Z3199" i="26"/>
  <c r="Y3200" i="26"/>
  <c r="Y3201" i="26"/>
  <c r="Z3200" i="26"/>
  <c r="Y3202" i="26"/>
  <c r="Z3201" i="26"/>
  <c r="Y3203" i="26"/>
  <c r="Z3202" i="26"/>
  <c r="Y3204" i="26"/>
  <c r="Z3203" i="26"/>
  <c r="Z3204" i="26"/>
  <c r="Y3205" i="26"/>
  <c r="Z3205" i="26"/>
  <c r="Y3206" i="26"/>
  <c r="Y3207" i="26"/>
  <c r="Z3206" i="26"/>
  <c r="Y3208" i="26"/>
  <c r="Z3207" i="26"/>
  <c r="Y3209" i="26"/>
  <c r="Z3208" i="26"/>
  <c r="Y3210" i="26"/>
  <c r="Z3209" i="26"/>
  <c r="Y3211" i="26"/>
  <c r="Z3210" i="26"/>
  <c r="Y3212" i="26"/>
  <c r="Z3211" i="26"/>
  <c r="Z3212" i="26"/>
  <c r="Y3213" i="26"/>
  <c r="Z3213" i="26"/>
  <c r="Y3214" i="26"/>
  <c r="Y3215" i="26"/>
  <c r="Z3214" i="26"/>
  <c r="Z3215" i="26"/>
  <c r="Y3216" i="26"/>
  <c r="Y3217" i="26"/>
  <c r="Z3216" i="26"/>
  <c r="Z3217" i="26"/>
  <c r="Y3218" i="26"/>
  <c r="Z3218" i="26"/>
  <c r="Y3219" i="26"/>
  <c r="Z3219" i="26"/>
  <c r="Y3220" i="26"/>
  <c r="Y3221" i="26"/>
  <c r="Z3220" i="26"/>
  <c r="Y3222" i="26"/>
  <c r="Z3221" i="26"/>
  <c r="Z3222" i="26"/>
  <c r="Y3223" i="26"/>
  <c r="Z3223" i="26"/>
  <c r="Y3224" i="26"/>
  <c r="Y3225" i="26"/>
  <c r="Z3224" i="26"/>
  <c r="Y3226" i="26"/>
  <c r="Z3225" i="26"/>
  <c r="Y3227" i="26"/>
  <c r="Z3226" i="26"/>
  <c r="Z3227" i="26"/>
  <c r="Y3228" i="26"/>
  <c r="Y3229" i="26"/>
  <c r="Z3228" i="26"/>
  <c r="Y3230" i="26"/>
  <c r="Z3229" i="26"/>
  <c r="Y3231" i="26"/>
  <c r="Z3230" i="26"/>
  <c r="Y3232" i="26"/>
  <c r="Z3231" i="26"/>
  <c r="Z3232" i="26"/>
  <c r="Y3233" i="26"/>
  <c r="Z3233" i="26"/>
  <c r="Y3234" i="26"/>
  <c r="Z3234" i="26"/>
  <c r="Y3235" i="26"/>
  <c r="Y3236" i="26"/>
  <c r="Z3235" i="26"/>
  <c r="Z3236" i="26"/>
  <c r="Y3237" i="26"/>
  <c r="Z3237" i="26"/>
  <c r="Y3238" i="26"/>
  <c r="Z3238" i="26"/>
  <c r="Y3239" i="26"/>
  <c r="Z3239" i="26"/>
  <c r="Y3240" i="26"/>
  <c r="Z3240" i="26"/>
  <c r="Y3241" i="26"/>
  <c r="Z3241" i="26"/>
  <c r="Y3242" i="26"/>
  <c r="Z3242" i="26"/>
  <c r="Y3243" i="26"/>
  <c r="Z3243" i="26"/>
  <c r="Y3244" i="26"/>
  <c r="Z3244" i="26"/>
  <c r="Y3245" i="26"/>
  <c r="Y3246" i="26"/>
  <c r="Z3245" i="26"/>
  <c r="Z3246" i="26"/>
  <c r="Y3247" i="26"/>
  <c r="Y3248" i="26"/>
  <c r="Z3247" i="26"/>
  <c r="Y3249" i="26"/>
  <c r="Z3248" i="26"/>
  <c r="Z3249" i="26"/>
  <c r="Y3250" i="26"/>
  <c r="Y3251" i="26"/>
  <c r="Z3250" i="26"/>
  <c r="Y3252" i="26"/>
  <c r="Z3251" i="26"/>
  <c r="Y3253" i="26"/>
  <c r="Z3252" i="26"/>
  <c r="Y3254" i="26"/>
  <c r="Z3253" i="26"/>
  <c r="Y3255" i="26"/>
  <c r="Z3254" i="26"/>
  <c r="Z3255" i="26"/>
  <c r="Y3256" i="26"/>
  <c r="Y3257" i="26"/>
  <c r="Z3256" i="26"/>
  <c r="Z3257" i="26"/>
  <c r="Y3258" i="26"/>
  <c r="Y3259" i="26"/>
  <c r="Z3258" i="26"/>
  <c r="Y3260" i="26"/>
  <c r="Z3259" i="26"/>
  <c r="Y3261" i="26"/>
  <c r="Z3260" i="26"/>
  <c r="Y3262" i="26"/>
  <c r="Z3261" i="26"/>
  <c r="Z3262" i="26"/>
  <c r="Y3263" i="26"/>
  <c r="Z3263" i="26"/>
  <c r="Y3264" i="26"/>
  <c r="Z3264" i="26"/>
  <c r="Y3265" i="26"/>
  <c r="Z3265" i="26"/>
  <c r="Y3266" i="26"/>
  <c r="Y3267" i="26"/>
  <c r="Z3266" i="26"/>
  <c r="Y3268" i="26"/>
  <c r="Z3267" i="26"/>
  <c r="Z3268" i="26"/>
  <c r="Y3269" i="26"/>
  <c r="Y3270" i="26"/>
  <c r="Z3269" i="26"/>
  <c r="Y3271" i="26"/>
  <c r="Z3270" i="26"/>
  <c r="Z3271" i="26"/>
  <c r="Y3272" i="26"/>
  <c r="Y3273" i="26"/>
  <c r="Z3272" i="26"/>
  <c r="Z3273" i="26"/>
  <c r="Y3274" i="26"/>
  <c r="Y3275" i="26"/>
  <c r="Z3274" i="26"/>
  <c r="Z3275" i="26"/>
  <c r="Y3276" i="26"/>
  <c r="Y3277" i="26"/>
  <c r="Z3276" i="26"/>
  <c r="Y3278" i="26"/>
  <c r="Z3277" i="26"/>
  <c r="Z3278" i="26"/>
  <c r="Y3279" i="26"/>
  <c r="Y3280" i="26"/>
  <c r="Z3279" i="26"/>
  <c r="Z3280" i="26"/>
  <c r="Y3281" i="26"/>
  <c r="Z3281" i="26"/>
  <c r="Y3282" i="26"/>
  <c r="Y3283" i="26"/>
  <c r="Z3282" i="26"/>
  <c r="Y3284" i="26"/>
  <c r="Z3283" i="26"/>
  <c r="Y3285" i="26"/>
  <c r="Z3284" i="26"/>
  <c r="Z3285" i="26"/>
  <c r="Y3286" i="26"/>
  <c r="Z3286" i="26"/>
  <c r="Y3287" i="26"/>
  <c r="Y3288" i="26"/>
  <c r="Z3287" i="26"/>
  <c r="Y3289" i="26"/>
  <c r="Z3288" i="26"/>
  <c r="Z3289" i="26"/>
  <c r="Y3290" i="26"/>
  <c r="Y3291" i="26"/>
  <c r="Z3290" i="26"/>
  <c r="Y3292" i="26"/>
  <c r="Z3291" i="26"/>
  <c r="Y3293" i="26"/>
  <c r="Z3292" i="26"/>
  <c r="Z3293" i="26"/>
  <c r="Y3294" i="26"/>
  <c r="Z3294" i="26"/>
  <c r="Y3295" i="26"/>
  <c r="Z3295" i="26"/>
  <c r="Y3296" i="26"/>
  <c r="Y3297" i="26"/>
  <c r="Z3296" i="26"/>
  <c r="Z3297" i="26"/>
  <c r="Y3298" i="26"/>
  <c r="Z3298" i="26"/>
  <c r="Y3299" i="26"/>
  <c r="Z3299" i="26"/>
  <c r="Y3300" i="26"/>
  <c r="Z3300" i="26"/>
  <c r="Y3301" i="26"/>
  <c r="Z3301" i="26"/>
  <c r="Y3302" i="26"/>
  <c r="Z3302" i="26"/>
  <c r="Y3303" i="26"/>
  <c r="Y3304" i="26"/>
  <c r="Z3303" i="26"/>
  <c r="Z3304" i="26"/>
  <c r="Y3305" i="26"/>
  <c r="Z3305" i="26"/>
  <c r="Y3306" i="26"/>
  <c r="Z3306" i="26"/>
  <c r="Y3307" i="26"/>
  <c r="Y3308" i="26"/>
  <c r="Z3307" i="26"/>
  <c r="Z3308" i="26"/>
  <c r="Y3309" i="26"/>
  <c r="Z3309" i="26"/>
  <c r="Y3310" i="26"/>
  <c r="Z3310" i="26"/>
  <c r="Y3311" i="26"/>
  <c r="Z3311" i="26"/>
  <c r="Y3312" i="26"/>
  <c r="Z3312" i="26"/>
  <c r="Y3313" i="26"/>
  <c r="Z3313" i="26"/>
  <c r="Y3314" i="26"/>
  <c r="Z3314" i="26"/>
  <c r="Y3315" i="26"/>
  <c r="Y3316" i="26"/>
  <c r="Z3315" i="26"/>
  <c r="Y3317" i="26"/>
  <c r="Z3316" i="26"/>
  <c r="Z3317" i="26"/>
  <c r="Y3318" i="26"/>
  <c r="Z3318" i="26"/>
  <c r="Y3319" i="26"/>
  <c r="Y3320" i="26"/>
  <c r="Z3319" i="26"/>
  <c r="Z3320" i="26"/>
  <c r="Y3321" i="26"/>
  <c r="Z3321" i="26"/>
  <c r="Y3322" i="26"/>
  <c r="Z3322" i="26"/>
  <c r="Y3323" i="26"/>
  <c r="Z3323" i="26"/>
  <c r="Y3324" i="26"/>
  <c r="Z3324" i="26"/>
  <c r="Y3325" i="26"/>
  <c r="Y3326" i="26"/>
  <c r="Z3325" i="26"/>
  <c r="Y3327" i="26"/>
  <c r="Z3326" i="26"/>
  <c r="Y3328" i="26"/>
  <c r="Z3327" i="26"/>
  <c r="Z3328" i="26"/>
  <c r="Y3329" i="26"/>
  <c r="Z3329" i="26"/>
  <c r="Y3330" i="26"/>
  <c r="Z3330" i="26"/>
  <c r="Y3331" i="26"/>
  <c r="Z3331" i="26"/>
  <c r="Y3332" i="26"/>
  <c r="Z3332" i="26"/>
  <c r="Y3333" i="26"/>
  <c r="Y3334" i="26"/>
  <c r="Z3333" i="26"/>
  <c r="Y3335" i="26"/>
  <c r="Z3334" i="26"/>
  <c r="Y3336" i="26"/>
  <c r="Z3335" i="26"/>
  <c r="Z3336" i="26"/>
  <c r="Y3337" i="26"/>
  <c r="Y3338" i="26"/>
  <c r="Z3337" i="26"/>
  <c r="Y3339" i="26"/>
  <c r="Z3338" i="26"/>
  <c r="Y3340" i="26"/>
  <c r="Z3339" i="26"/>
  <c r="Z3340" i="26"/>
  <c r="Y3341" i="26"/>
  <c r="Y3342" i="26"/>
  <c r="Z3341" i="26"/>
  <c r="Z3342" i="26"/>
  <c r="Y3343" i="26"/>
  <c r="Y3344" i="26"/>
  <c r="Z3343" i="26"/>
  <c r="Y3345" i="26"/>
  <c r="Z3344" i="26"/>
  <c r="Y3346" i="26"/>
  <c r="Z3345" i="26"/>
  <c r="Y3347" i="26"/>
  <c r="Z3346" i="26"/>
  <c r="Z3347" i="26"/>
  <c r="Y3348" i="26"/>
  <c r="Y3349" i="26"/>
  <c r="Z3348" i="26"/>
  <c r="Z3349" i="26"/>
  <c r="Y3350" i="26"/>
  <c r="Z3350" i="26"/>
  <c r="Y3351" i="26"/>
  <c r="Z3351" i="26"/>
  <c r="Y3352" i="26"/>
  <c r="Y3353" i="26"/>
  <c r="Z3352" i="26"/>
  <c r="Z3353" i="26"/>
  <c r="Y3354" i="26"/>
  <c r="Z3354" i="26"/>
  <c r="Y3355" i="26"/>
  <c r="Y3356" i="26"/>
  <c r="Z3355" i="26"/>
  <c r="Z3356" i="26"/>
  <c r="Y3357" i="26"/>
  <c r="Z3357" i="26"/>
  <c r="Y3358" i="26"/>
  <c r="Z3358" i="26"/>
  <c r="Y3359" i="26"/>
  <c r="Z3359" i="26"/>
  <c r="Y3360" i="26"/>
  <c r="Y3361" i="26"/>
  <c r="Z3360" i="26"/>
  <c r="Z3361" i="26"/>
  <c r="Y3362" i="26"/>
  <c r="Y3363" i="26"/>
  <c r="Z3362" i="26"/>
  <c r="Y3364" i="26"/>
  <c r="Z3363" i="26"/>
  <c r="Z3364" i="26"/>
  <c r="Y3365" i="26"/>
  <c r="Z3365" i="26"/>
  <c r="Y3366" i="26"/>
  <c r="Y3367" i="26"/>
  <c r="Z3366" i="26"/>
  <c r="Y3368" i="26"/>
  <c r="Z3367" i="26"/>
  <c r="Z3368" i="26"/>
  <c r="Y3369" i="26"/>
  <c r="Y3370" i="26"/>
  <c r="Z3369" i="26"/>
  <c r="Z3370" i="26"/>
  <c r="Y3371" i="26"/>
  <c r="Y3372" i="26"/>
  <c r="Z3371" i="26"/>
  <c r="Z3372" i="26"/>
  <c r="Y3373" i="26"/>
  <c r="Y3374" i="26"/>
  <c r="Z3373" i="26"/>
  <c r="Y3375" i="26"/>
  <c r="Z3374" i="26"/>
  <c r="Z3375" i="26"/>
  <c r="Y3376" i="26"/>
  <c r="Z3376" i="26"/>
  <c r="Y3377" i="26"/>
  <c r="Y3378" i="26"/>
  <c r="Z3377" i="26"/>
  <c r="Z3378" i="26"/>
  <c r="Y3379" i="26"/>
  <c r="Y3380" i="26"/>
  <c r="Z3379" i="26"/>
  <c r="Y3381" i="26"/>
  <c r="Z3380" i="26"/>
  <c r="Z3381" i="26"/>
  <c r="Y3382" i="26"/>
  <c r="Z3382" i="26"/>
  <c r="Y3383" i="26"/>
  <c r="Y3384" i="26"/>
  <c r="Z3383" i="26"/>
  <c r="Y3385" i="26"/>
  <c r="Z3384" i="26"/>
  <c r="Z3385" i="26"/>
  <c r="Y3386" i="26"/>
  <c r="Z3386" i="26"/>
  <c r="Y3387" i="26"/>
  <c r="Y3388" i="26"/>
  <c r="Z3387" i="26"/>
  <c r="Y3389" i="26"/>
  <c r="Z3388" i="26"/>
  <c r="Z3389" i="26"/>
  <c r="Y3390" i="26"/>
  <c r="Z3390" i="26"/>
  <c r="Y3391" i="26"/>
  <c r="Y3392" i="26"/>
  <c r="Z3391" i="26"/>
  <c r="Z3392" i="26"/>
  <c r="Y3393" i="26"/>
  <c r="Y3394" i="26"/>
  <c r="Z3393" i="26"/>
  <c r="Y3395" i="26"/>
  <c r="Z3394" i="26"/>
  <c r="Z3395" i="26"/>
  <c r="Y3396" i="26"/>
  <c r="Z3396" i="26"/>
  <c r="Y3397" i="26"/>
  <c r="Z3397" i="26"/>
  <c r="Y3398" i="26"/>
  <c r="Y3399" i="26"/>
  <c r="Z3398" i="26"/>
  <c r="Z3399" i="26"/>
  <c r="Y3400" i="26"/>
  <c r="Z3400" i="26"/>
  <c r="Y3401" i="26"/>
  <c r="Y3402" i="26"/>
  <c r="Z3401" i="26"/>
  <c r="Y3403" i="26"/>
  <c r="Z3402" i="26"/>
  <c r="Y3404" i="26"/>
  <c r="Z3403" i="26"/>
  <c r="Z3404" i="26"/>
  <c r="Y3405" i="26"/>
  <c r="Y3406" i="26"/>
  <c r="Z3405" i="26"/>
  <c r="Y3407" i="26"/>
  <c r="Z3406" i="26"/>
  <c r="Y3408" i="26"/>
  <c r="Z3407" i="26"/>
  <c r="Z3408" i="26"/>
  <c r="Y3409" i="26"/>
  <c r="Z3409" i="26"/>
  <c r="Y3410" i="26"/>
  <c r="Y3411" i="26"/>
  <c r="Z3410" i="26"/>
  <c r="Y3412" i="26"/>
  <c r="Z3411" i="26"/>
  <c r="Y3413" i="26"/>
  <c r="Z3412" i="26"/>
  <c r="Y3414" i="26"/>
  <c r="Z3413" i="26"/>
  <c r="Y3415" i="26"/>
  <c r="Z3414" i="26"/>
  <c r="Y3416" i="26"/>
  <c r="Z3415" i="26"/>
  <c r="Z3416" i="26"/>
  <c r="Y3417" i="26"/>
  <c r="Z3417" i="26"/>
  <c r="Y3418" i="26"/>
  <c r="Z3418" i="26"/>
  <c r="Y3419" i="26"/>
  <c r="Z3419" i="26"/>
  <c r="Y3420" i="26"/>
  <c r="Y3421" i="26"/>
  <c r="Z3420" i="26"/>
  <c r="Y3422" i="26"/>
  <c r="Z3421" i="26"/>
  <c r="Z3422" i="26"/>
  <c r="Y3423" i="26"/>
  <c r="Y3424" i="26"/>
  <c r="Z3423" i="26"/>
  <c r="Z3424" i="26"/>
  <c r="Y3425" i="26"/>
  <c r="Y3426" i="26"/>
  <c r="Z3425" i="26"/>
  <c r="Z3426" i="26"/>
  <c r="Y3427" i="26"/>
  <c r="Z3427" i="26"/>
  <c r="Y3428" i="26"/>
  <c r="Y3429" i="26"/>
  <c r="Z3428" i="26"/>
  <c r="Y3430" i="26"/>
  <c r="Z3429" i="26"/>
  <c r="Y3431" i="26"/>
  <c r="Z3430" i="26"/>
  <c r="Z3431" i="26"/>
  <c r="Y3432" i="26"/>
  <c r="Y3433" i="26"/>
  <c r="Z3432" i="26"/>
  <c r="Z3433" i="26"/>
  <c r="Y3434" i="26"/>
  <c r="Z3434" i="26"/>
  <c r="Y3435" i="26"/>
  <c r="Z3435" i="26"/>
  <c r="Y3436" i="26"/>
  <c r="Y3437" i="26"/>
  <c r="Z3436" i="26"/>
  <c r="Y3438" i="26"/>
  <c r="Z3437" i="26"/>
  <c r="Z3438" i="26"/>
  <c r="Y3439" i="26"/>
  <c r="Z3439" i="26"/>
  <c r="Y3440" i="26"/>
  <c r="Z3440" i="26"/>
  <c r="Y3441" i="26"/>
  <c r="Z3441" i="26"/>
  <c r="Y3442" i="26"/>
  <c r="Y3443" i="26"/>
  <c r="Z3442" i="26"/>
  <c r="Z3443" i="26"/>
  <c r="Y3444" i="26"/>
  <c r="Z3444" i="26"/>
  <c r="Y3445" i="26"/>
  <c r="Z3445" i="26"/>
  <c r="Y3446" i="26"/>
  <c r="Z3446" i="26"/>
  <c r="Y3447" i="26"/>
  <c r="Y3448" i="26"/>
  <c r="Z3447" i="26"/>
  <c r="Z3448" i="26"/>
  <c r="Y3449" i="26"/>
  <c r="Y3450" i="26"/>
  <c r="Z3449" i="26"/>
  <c r="Z3450" i="26"/>
  <c r="Y3451" i="26"/>
  <c r="Y3452" i="26"/>
  <c r="Z3451" i="26"/>
  <c r="Z3452" i="26"/>
  <c r="Y3453" i="26"/>
  <c r="Z3453" i="26"/>
  <c r="Y3454" i="26"/>
  <c r="Z3454" i="26"/>
  <c r="Y3455" i="26"/>
  <c r="Y3456" i="26"/>
  <c r="Z3455" i="26"/>
  <c r="Y3457" i="26"/>
  <c r="Z3456" i="26"/>
  <c r="Y3458" i="26"/>
  <c r="Z3457" i="26"/>
  <c r="Z3458" i="26"/>
  <c r="Y3459" i="26"/>
  <c r="Z3459" i="26"/>
  <c r="Y3460" i="26"/>
  <c r="Y3461" i="26"/>
  <c r="Z3460" i="26"/>
  <c r="Z3461" i="26"/>
  <c r="Y3462" i="26"/>
  <c r="Z3462" i="26"/>
  <c r="Y3463" i="26"/>
  <c r="Z3463" i="26"/>
  <c r="Y3464" i="26"/>
  <c r="Z3464" i="26"/>
  <c r="Y3465" i="26"/>
  <c r="Z3465" i="26"/>
  <c r="Y3466" i="26"/>
  <c r="Y3467" i="26"/>
  <c r="Z3466" i="26"/>
  <c r="Y3468" i="26"/>
  <c r="Z3467" i="26"/>
  <c r="Y3469" i="26"/>
  <c r="Z3468" i="26"/>
  <c r="Z3469" i="26"/>
  <c r="Y3470" i="26"/>
  <c r="Y3471" i="26"/>
  <c r="Z3470" i="26"/>
  <c r="Y3472" i="26"/>
  <c r="Z3471" i="26"/>
  <c r="Z3472" i="26"/>
  <c r="Y3473" i="26"/>
  <c r="Z3473" i="26"/>
  <c r="Y3474" i="26"/>
  <c r="Y3475" i="26"/>
  <c r="Z3474" i="26"/>
  <c r="Z3475" i="26"/>
  <c r="Y3476" i="26"/>
  <c r="Z3476" i="26"/>
  <c r="Y3477" i="26"/>
  <c r="Z3477" i="26"/>
  <c r="Y3478" i="26"/>
  <c r="Z3478" i="26"/>
  <c r="Y3479" i="26"/>
  <c r="Y3480" i="26"/>
  <c r="Z3479" i="26"/>
  <c r="Y3481" i="26"/>
  <c r="Z3480" i="26"/>
  <c r="Y3482" i="26"/>
  <c r="Z3481" i="26"/>
  <c r="Y3483" i="26"/>
  <c r="Z3482" i="26"/>
  <c r="Y3484" i="26"/>
  <c r="Z3483" i="26"/>
  <c r="Y3485" i="26"/>
  <c r="Z3484" i="26"/>
  <c r="Z3485" i="26"/>
  <c r="Y3486" i="26"/>
  <c r="Z3486" i="26"/>
  <c r="Y3487" i="26"/>
  <c r="Z3487" i="26"/>
  <c r="Y3488" i="26"/>
  <c r="Z3488" i="26"/>
  <c r="Y3489" i="26"/>
  <c r="Y3490" i="26"/>
  <c r="Z3489" i="26"/>
  <c r="Y3491" i="26"/>
  <c r="Z3490" i="26"/>
  <c r="Z3491" i="26"/>
  <c r="Y3492" i="26"/>
  <c r="Z3492" i="26"/>
  <c r="Y3493" i="26"/>
  <c r="Z3493" i="26"/>
  <c r="Y3494" i="26"/>
  <c r="Y3495" i="26"/>
  <c r="Z3494" i="26"/>
  <c r="Y3496" i="26"/>
  <c r="Z3495" i="26"/>
  <c r="Z3496" i="26"/>
  <c r="Y3497" i="26"/>
  <c r="Y3498" i="26"/>
  <c r="Z3497" i="26"/>
  <c r="Y3499" i="26"/>
  <c r="Z3498" i="26"/>
  <c r="Y3500" i="26"/>
  <c r="Z3499" i="26"/>
  <c r="Z3500" i="26"/>
  <c r="Y3501" i="26"/>
  <c r="Y3502" i="26"/>
  <c r="Z3501" i="26"/>
  <c r="Z3502" i="26"/>
  <c r="Y3503" i="26"/>
  <c r="Y3504" i="26"/>
  <c r="Z3503" i="26"/>
  <c r="Z3504" i="26"/>
  <c r="Y3505" i="26"/>
  <c r="Y3506" i="26"/>
  <c r="Z3505" i="26"/>
  <c r="Y3507" i="26"/>
  <c r="Z3506" i="26"/>
  <c r="Y3508" i="26"/>
  <c r="Z3507" i="26"/>
  <c r="Y3509" i="26"/>
  <c r="Z3508" i="26"/>
  <c r="Y3510" i="26"/>
  <c r="Z3509" i="26"/>
  <c r="Y3511" i="26"/>
  <c r="Z3510" i="26"/>
  <c r="Y3512" i="26"/>
  <c r="Z3511" i="26"/>
  <c r="Y3513" i="26"/>
  <c r="Z3512" i="26"/>
  <c r="Y3514" i="26"/>
  <c r="Z3513" i="26"/>
  <c r="Y3515" i="26"/>
  <c r="Z3514" i="26"/>
  <c r="Y3516" i="26"/>
  <c r="Z3515" i="26"/>
  <c r="Z3516" i="26"/>
  <c r="Y3517" i="26"/>
  <c r="Z3517" i="26"/>
  <c r="Y3518" i="26"/>
  <c r="Y3519" i="26"/>
  <c r="Z3518" i="26"/>
  <c r="Z3519" i="26"/>
  <c r="Y3520" i="26"/>
  <c r="Z3520" i="26"/>
  <c r="Y3521" i="26"/>
  <c r="Z3521" i="26"/>
  <c r="Y3522" i="26"/>
  <c r="Z3522" i="26"/>
  <c r="Y3523" i="26"/>
  <c r="Z3523" i="26"/>
  <c r="Y3524" i="26"/>
  <c r="Y3525" i="26"/>
  <c r="Z3524" i="26"/>
  <c r="Y3526" i="26"/>
  <c r="Z3525" i="26"/>
  <c r="Y3527" i="26"/>
  <c r="Z3526" i="26"/>
  <c r="Y3528" i="26"/>
  <c r="Z3527" i="26"/>
  <c r="Z3528" i="26"/>
  <c r="Y3529" i="26"/>
  <c r="Z3529" i="26"/>
  <c r="Y3530" i="26"/>
  <c r="Z3530" i="26"/>
  <c r="Y3531" i="26"/>
  <c r="Z3531" i="26"/>
  <c r="Y3532" i="26"/>
  <c r="Z3532" i="26"/>
  <c r="Y3533" i="26"/>
  <c r="Z3533" i="26"/>
  <c r="Y3534" i="26"/>
  <c r="Z3534" i="26"/>
  <c r="Y3535" i="26"/>
  <c r="Y3536" i="26"/>
  <c r="Z3535" i="26"/>
  <c r="Z3536" i="26"/>
  <c r="Y3537" i="26"/>
  <c r="Y3538" i="26"/>
  <c r="Z3537" i="26"/>
  <c r="Y3539" i="26"/>
  <c r="Z3538" i="26"/>
  <c r="Z3539" i="26"/>
  <c r="Y3540" i="26"/>
  <c r="Z3540" i="26"/>
  <c r="Y3541" i="26"/>
  <c r="Y3542" i="26"/>
  <c r="Z3541" i="26"/>
  <c r="Z3542" i="26"/>
  <c r="Y3543" i="26"/>
  <c r="Y3544" i="26"/>
  <c r="Z3543" i="26"/>
  <c r="A8" i="5" l="1"/>
  <c r="F45" i="25"/>
  <c r="D8" i="5"/>
  <c r="D10" i="5"/>
  <c r="D7" i="5"/>
  <c r="D11" i="5"/>
  <c r="D6" i="5"/>
  <c r="D9" i="5"/>
  <c r="D13" i="5"/>
  <c r="D12" i="5"/>
  <c r="Z3544" i="26"/>
  <c r="G8" i="5"/>
  <c r="H8" i="5"/>
  <c r="E46" i="25"/>
  <c r="G42" i="25"/>
  <c r="H42" i="25"/>
  <c r="C46" i="25"/>
  <c r="E47" i="25"/>
  <c r="G46" i="25"/>
  <c r="C47" i="25"/>
  <c r="H46" i="25"/>
  <c r="G47" i="25"/>
  <c r="E48" i="25"/>
  <c r="H47" i="25"/>
  <c r="C48" i="25"/>
  <c r="E49" i="25"/>
  <c r="G48" i="25"/>
  <c r="C49" i="25"/>
  <c r="H48" i="25"/>
  <c r="G49" i="25"/>
  <c r="E50" i="25"/>
  <c r="H49" i="25"/>
  <c r="C50" i="25"/>
  <c r="E51" i="25"/>
  <c r="G50" i="25"/>
  <c r="C51" i="25"/>
  <c r="H50" i="25"/>
  <c r="G51" i="25"/>
  <c r="H51" i="25" s="1"/>
  <c r="E52" i="25"/>
  <c r="C52" i="25"/>
  <c r="E53" i="25"/>
  <c r="G52" i="25"/>
  <c r="H52" i="25" s="1"/>
  <c r="C53" i="25"/>
  <c r="F53" i="25" l="1"/>
  <c r="F52" i="25"/>
  <c r="A13" i="5"/>
  <c r="F51" i="25"/>
  <c r="F50" i="25"/>
  <c r="A12" i="5"/>
  <c r="A11" i="5"/>
  <c r="F49" i="25"/>
  <c r="F48" i="25"/>
  <c r="A10" i="5"/>
  <c r="A9" i="5"/>
  <c r="F47" i="25"/>
  <c r="F46" i="25"/>
  <c r="A5" i="5"/>
  <c r="H12" i="5"/>
  <c r="G12" i="5"/>
  <c r="H11" i="5"/>
  <c r="G11" i="5"/>
  <c r="H5" i="5"/>
  <c r="G53" i="25"/>
  <c r="H53" i="25" s="1"/>
  <c r="G5" i="5"/>
  <c r="H10" i="5"/>
  <c r="G10" i="5"/>
  <c r="G13" i="5"/>
  <c r="H13" i="5"/>
  <c r="G9" i="5"/>
  <c r="H9" i="5"/>
  <c r="B5" i="5"/>
  <c r="C5" i="5"/>
  <c r="D5" i="5" l="1"/>
  <c r="D2" i="4" a="1"/>
  <c r="D37" i="4" l="1"/>
  <c r="D69" i="4"/>
  <c r="D6" i="4"/>
  <c r="D119" i="4"/>
  <c r="D110" i="4"/>
  <c r="D29" i="4"/>
  <c r="D83" i="4"/>
  <c r="D114" i="4"/>
  <c r="D117" i="4"/>
  <c r="D53" i="4"/>
  <c r="D62" i="4"/>
  <c r="D64" i="4"/>
  <c r="D102" i="4"/>
  <c r="D92" i="4"/>
  <c r="D122" i="4"/>
  <c r="D124" i="4"/>
  <c r="D116" i="4"/>
  <c r="D115" i="4"/>
  <c r="D52" i="4"/>
  <c r="D79" i="4"/>
  <c r="D100" i="4"/>
  <c r="D68" i="4"/>
  <c r="D94" i="4"/>
  <c r="D104" i="4"/>
  <c r="D95" i="4"/>
  <c r="D44" i="4"/>
  <c r="D85" i="4"/>
  <c r="D72" i="4"/>
  <c r="D59" i="4"/>
  <c r="D10" i="4"/>
  <c r="D76" i="4"/>
  <c r="D20" i="4"/>
  <c r="D112" i="4"/>
  <c r="D120" i="4"/>
  <c r="D46" i="4"/>
  <c r="D5" i="4"/>
  <c r="D33" i="4"/>
  <c r="D109" i="4"/>
  <c r="D22" i="4"/>
  <c r="D113" i="4"/>
  <c r="D123" i="4"/>
  <c r="D75" i="4"/>
  <c r="D9" i="4"/>
  <c r="D3" i="4"/>
  <c r="D11" i="4"/>
  <c r="D105" i="4"/>
  <c r="D54" i="4"/>
  <c r="D42" i="4"/>
  <c r="D48" i="4"/>
  <c r="D65" i="4"/>
  <c r="D16" i="4"/>
  <c r="D90" i="4"/>
  <c r="D58" i="4"/>
  <c r="D88" i="4"/>
  <c r="D66" i="4"/>
  <c r="D71" i="4"/>
  <c r="D41" i="4"/>
  <c r="D70" i="4"/>
  <c r="D74" i="4"/>
  <c r="D7" i="4"/>
  <c r="D39" i="4"/>
  <c r="D25" i="4"/>
  <c r="D91" i="4"/>
  <c r="D99" i="4"/>
  <c r="D26" i="4"/>
  <c r="D89" i="4"/>
  <c r="D73" i="4"/>
  <c r="D45" i="4"/>
  <c r="D14" i="4"/>
  <c r="D103" i="4"/>
  <c r="D34" i="4"/>
  <c r="D118" i="4"/>
  <c r="D18" i="4"/>
  <c r="D15" i="4"/>
  <c r="D106" i="4"/>
  <c r="D28" i="4"/>
  <c r="D80" i="4"/>
  <c r="D97" i="4"/>
  <c r="D36" i="4"/>
  <c r="D17" i="4"/>
  <c r="D63" i="4"/>
  <c r="D24" i="4"/>
  <c r="D50" i="4"/>
  <c r="D56" i="4"/>
  <c r="D96" i="4"/>
  <c r="D47" i="4"/>
  <c r="D40" i="4"/>
  <c r="D35" i="4"/>
  <c r="D101" i="4"/>
  <c r="D61" i="4"/>
  <c r="D19" i="4"/>
  <c r="D77" i="4"/>
  <c r="D38" i="4"/>
  <c r="D60" i="4"/>
  <c r="D86" i="4"/>
  <c r="D32" i="4"/>
  <c r="D12" i="4"/>
  <c r="D23" i="4"/>
  <c r="D67" i="4"/>
  <c r="D30" i="4"/>
  <c r="D82" i="4"/>
  <c r="D13" i="4"/>
  <c r="D57" i="4"/>
  <c r="D98" i="4"/>
  <c r="D49" i="4"/>
  <c r="D43" i="4"/>
  <c r="D108" i="4"/>
  <c r="D126" i="4"/>
  <c r="D2" i="4"/>
  <c r="D31" i="4"/>
  <c r="D55" i="4"/>
  <c r="D78" i="4"/>
  <c r="D51" i="4"/>
  <c r="D125" i="4"/>
  <c r="D121" i="4"/>
  <c r="D93" i="4"/>
  <c r="D111" i="4"/>
  <c r="D81" i="4"/>
  <c r="D87" i="4"/>
  <c r="D27" i="4"/>
  <c r="D21" i="4"/>
  <c r="D107" i="4"/>
  <c r="D4" i="4"/>
  <c r="D84" i="4"/>
  <c r="D8" i="4"/>
  <c r="E123" i="4"/>
  <c r="H121" i="4"/>
  <c r="G29" i="4"/>
  <c r="G124" i="4"/>
  <c r="H70" i="4"/>
  <c r="E88" i="4"/>
  <c r="G6" i="4"/>
  <c r="F108" i="4"/>
  <c r="E96" i="4"/>
  <c r="E32" i="4"/>
  <c r="I18" i="4"/>
  <c r="E77" i="4"/>
  <c r="I81" i="4"/>
  <c r="F17" i="4"/>
  <c r="E61" i="4"/>
  <c r="E66" i="4"/>
  <c r="I46" i="4"/>
  <c r="I56" i="4"/>
  <c r="G109" i="4"/>
  <c r="H83" i="4"/>
  <c r="H101" i="4"/>
  <c r="E84" i="4"/>
  <c r="E22" i="4"/>
  <c r="G69" i="4"/>
  <c r="E107" i="4"/>
  <c r="F57" i="4"/>
  <c r="H16" i="4"/>
  <c r="G93" i="4"/>
  <c r="I47" i="4"/>
  <c r="H116" i="4"/>
  <c r="H51" i="4"/>
  <c r="E58" i="4"/>
  <c r="G34" i="4"/>
  <c r="H120" i="4"/>
  <c r="I39" i="4"/>
  <c r="F113" i="4"/>
  <c r="F106" i="4"/>
  <c r="H59" i="4"/>
  <c r="I40" i="4"/>
  <c r="E63" i="4"/>
  <c r="H76" i="4"/>
  <c r="I107" i="4"/>
  <c r="I9" i="4"/>
  <c r="E47" i="4"/>
  <c r="H12" i="4"/>
  <c r="G54" i="4"/>
  <c r="E4" i="4"/>
  <c r="H74" i="4"/>
  <c r="H60" i="4"/>
  <c r="G12" i="4"/>
  <c r="E54" i="4"/>
  <c r="H64" i="4"/>
  <c r="E49" i="4"/>
  <c r="E91" i="4"/>
  <c r="I64" i="4"/>
  <c r="I73" i="4"/>
  <c r="F122" i="4"/>
  <c r="F125" i="4"/>
  <c r="H124" i="4"/>
  <c r="E68" i="4"/>
  <c r="H3" i="4"/>
  <c r="E112" i="4"/>
  <c r="F38" i="4"/>
  <c r="F65" i="4"/>
  <c r="I27" i="4"/>
  <c r="E14" i="4"/>
  <c r="G123" i="4"/>
  <c r="G7" i="4"/>
  <c r="G22" i="4"/>
  <c r="I104" i="4"/>
  <c r="G85" i="4"/>
  <c r="F86" i="4"/>
  <c r="I78" i="4"/>
  <c r="G41" i="4"/>
  <c r="H79" i="4"/>
  <c r="G10" i="4"/>
  <c r="H42" i="4"/>
  <c r="G15" i="4"/>
  <c r="H13" i="4"/>
  <c r="I62" i="4"/>
  <c r="G72" i="4"/>
  <c r="I111" i="4"/>
  <c r="H119" i="4"/>
  <c r="I101" i="4"/>
  <c r="E126" i="4"/>
  <c r="I76" i="4"/>
  <c r="I69" i="4"/>
  <c r="F107" i="4"/>
  <c r="G57" i="4"/>
  <c r="F9" i="4"/>
  <c r="H30" i="4"/>
  <c r="H47" i="4"/>
  <c r="E37" i="4"/>
  <c r="G49" i="4"/>
  <c r="F110" i="4"/>
  <c r="H54" i="4"/>
  <c r="E115" i="4"/>
  <c r="E64" i="4"/>
  <c r="E114" i="4"/>
  <c r="I74" i="4"/>
  <c r="I102" i="4"/>
  <c r="I31" i="4"/>
  <c r="G95" i="4"/>
  <c r="I23" i="4"/>
  <c r="G38" i="4"/>
  <c r="F55" i="4"/>
  <c r="F75" i="4"/>
  <c r="I8" i="4"/>
  <c r="G35" i="4"/>
  <c r="I19" i="4"/>
  <c r="H14" i="4"/>
  <c r="F104" i="4"/>
  <c r="G51" i="4"/>
  <c r="H91" i="4"/>
  <c r="E45" i="4"/>
  <c r="E73" i="4"/>
  <c r="E122" i="4"/>
  <c r="G21" i="4"/>
  <c r="G86" i="4"/>
  <c r="E39" i="4"/>
  <c r="G50" i="4"/>
  <c r="G104" i="4"/>
  <c r="H23" i="4"/>
  <c r="E86" i="4"/>
  <c r="F8" i="4"/>
  <c r="F23" i="4"/>
  <c r="E55" i="4"/>
  <c r="G68" i="4"/>
  <c r="F19" i="4"/>
  <c r="F99" i="4"/>
  <c r="H90" i="4"/>
  <c r="F71" i="4"/>
  <c r="I94" i="4"/>
  <c r="F30" i="4"/>
  <c r="H41" i="4"/>
  <c r="H105" i="4"/>
  <c r="I15" i="4"/>
  <c r="H52" i="4"/>
  <c r="H111" i="4"/>
  <c r="F121" i="4"/>
  <c r="H11" i="4"/>
  <c r="H53" i="4"/>
  <c r="G116" i="4"/>
  <c r="E108" i="4"/>
  <c r="F120" i="4"/>
  <c r="H123" i="4"/>
  <c r="I11" i="4"/>
  <c r="G74" i="4"/>
  <c r="E26" i="4"/>
  <c r="G28" i="4"/>
  <c r="I103" i="4"/>
  <c r="I17" i="4"/>
  <c r="G24" i="4"/>
  <c r="E94" i="4"/>
  <c r="H85" i="4"/>
  <c r="I7" i="4"/>
  <c r="E109" i="4"/>
  <c r="H5" i="4"/>
  <c r="I12" i="4"/>
  <c r="G110" i="4"/>
  <c r="F54" i="4"/>
  <c r="H115" i="4"/>
  <c r="G4" i="4"/>
  <c r="H87" i="4"/>
  <c r="E74" i="4"/>
  <c r="F102" i="4"/>
  <c r="F31" i="4"/>
  <c r="H117" i="4"/>
  <c r="F51" i="4"/>
  <c r="I58" i="4"/>
  <c r="E34" i="4"/>
  <c r="E120" i="4"/>
  <c r="H45" i="4"/>
  <c r="H113" i="4"/>
  <c r="G106" i="4"/>
  <c r="F59" i="4"/>
  <c r="H40" i="4"/>
  <c r="F123" i="4"/>
  <c r="G121" i="4"/>
  <c r="F2" i="4"/>
  <c r="I124" i="4"/>
  <c r="I70" i="4"/>
  <c r="G88" i="4"/>
  <c r="H6" i="4"/>
  <c r="I67" i="4"/>
  <c r="I96" i="4"/>
  <c r="H32" i="4"/>
  <c r="H125" i="4"/>
  <c r="H55" i="4"/>
  <c r="F68" i="4"/>
  <c r="H67" i="4"/>
  <c r="H99" i="4"/>
  <c r="I121" i="4"/>
  <c r="I20" i="4"/>
  <c r="F97" i="4"/>
  <c r="G108" i="4"/>
  <c r="G78" i="4"/>
  <c r="I79" i="4"/>
  <c r="H20" i="4"/>
  <c r="I97" i="4"/>
  <c r="F90" i="4"/>
  <c r="E42" i="4"/>
  <c r="E13" i="4"/>
  <c r="E72" i="4"/>
  <c r="G119" i="4"/>
  <c r="I84" i="4"/>
  <c r="F69" i="4"/>
  <c r="E57" i="4"/>
  <c r="H96" i="4"/>
  <c r="H63" i="4"/>
  <c r="F76" i="4"/>
  <c r="E43" i="4"/>
  <c r="H9" i="4"/>
  <c r="G47" i="4"/>
  <c r="I29" i="4"/>
  <c r="G60" i="4"/>
  <c r="H4" i="4"/>
  <c r="E21" i="4"/>
  <c r="G102" i="4"/>
  <c r="H39" i="4"/>
  <c r="E121" i="4"/>
  <c r="F60" i="4"/>
  <c r="F7" i="4"/>
  <c r="F116" i="4"/>
  <c r="I21" i="4"/>
  <c r="F58" i="4"/>
  <c r="H34" i="4"/>
  <c r="G120" i="4"/>
  <c r="G39" i="4"/>
  <c r="H118" i="4"/>
  <c r="H106" i="4"/>
  <c r="I59" i="4"/>
  <c r="E40" i="4"/>
  <c r="H48" i="4"/>
  <c r="E79" i="4"/>
  <c r="E29" i="4"/>
  <c r="F20" i="4"/>
  <c r="E89" i="4"/>
  <c r="G97" i="4"/>
  <c r="E62" i="4"/>
  <c r="H108" i="4"/>
  <c r="G82" i="4"/>
  <c r="H78" i="4"/>
  <c r="G26" i="4"/>
  <c r="E28" i="4"/>
  <c r="F105" i="4"/>
  <c r="H71" i="4"/>
  <c r="F24" i="4"/>
  <c r="F94" i="4"/>
  <c r="E85" i="4"/>
  <c r="G3" i="4"/>
  <c r="H92" i="4"/>
  <c r="E5" i="4"/>
  <c r="E101" i="4"/>
  <c r="G84" i="4"/>
  <c r="H22" i="4"/>
  <c r="F53" i="4"/>
  <c r="G107" i="4"/>
  <c r="H57" i="4"/>
  <c r="F16" i="4"/>
  <c r="E93" i="4"/>
  <c r="I60" i="4"/>
  <c r="G112" i="4"/>
  <c r="E2" i="4"/>
  <c r="E65" i="4"/>
  <c r="E27" i="4"/>
  <c r="G14" i="4"/>
  <c r="I48" i="4"/>
  <c r="H29" i="4"/>
  <c r="G89" i="4"/>
  <c r="F6" i="4"/>
  <c r="E82" i="4"/>
  <c r="F48" i="4"/>
  <c r="I10" i="4"/>
  <c r="F89" i="4"/>
  <c r="F41" i="4"/>
  <c r="F10" i="4"/>
  <c r="E15" i="4"/>
  <c r="F52" i="4"/>
  <c r="F111" i="4"/>
  <c r="F101" i="4"/>
  <c r="E76" i="4"/>
  <c r="H107" i="4"/>
  <c r="E16" i="4"/>
  <c r="F5" i="4"/>
  <c r="I126" i="4"/>
  <c r="H69" i="4"/>
  <c r="F36" i="4"/>
  <c r="G30" i="4"/>
  <c r="F67" i="4"/>
  <c r="E35" i="4"/>
  <c r="F12" i="4"/>
  <c r="H93" i="4"/>
  <c r="F39" i="4"/>
  <c r="F21" i="4"/>
  <c r="E59" i="4"/>
  <c r="F88" i="4"/>
  <c r="H61" i="4"/>
  <c r="E18" i="4"/>
  <c r="G40" i="4"/>
  <c r="H62" i="4"/>
  <c r="F95" i="4"/>
  <c r="E23" i="4"/>
  <c r="E38" i="4"/>
  <c r="G55" i="4"/>
  <c r="G65" i="4"/>
  <c r="G8" i="4"/>
  <c r="I35" i="4"/>
  <c r="H19" i="4"/>
  <c r="I14" i="4"/>
  <c r="I99" i="4"/>
  <c r="E41" i="4"/>
  <c r="I90" i="4"/>
  <c r="G105" i="4"/>
  <c r="E71" i="4"/>
  <c r="H24" i="4"/>
  <c r="F13" i="4"/>
  <c r="E52" i="4"/>
  <c r="I3" i="4"/>
  <c r="G92" i="4"/>
  <c r="I5" i="4"/>
  <c r="F18" i="4"/>
  <c r="F77" i="4"/>
  <c r="G81" i="4"/>
  <c r="E98" i="4"/>
  <c r="I43" i="4"/>
  <c r="I66" i="4"/>
  <c r="G46" i="4"/>
  <c r="G56" i="4"/>
  <c r="E25" i="4"/>
  <c r="F37" i="4"/>
  <c r="H49" i="4"/>
  <c r="H33" i="4"/>
  <c r="I54" i="4"/>
  <c r="I115" i="4"/>
  <c r="G64" i="4"/>
  <c r="G114" i="4"/>
  <c r="H73" i="4"/>
  <c r="H102" i="4"/>
  <c r="E31" i="4"/>
  <c r="I41" i="4"/>
  <c r="I105" i="4"/>
  <c r="H15" i="4"/>
  <c r="I52" i="4"/>
  <c r="F92" i="4"/>
  <c r="G18" i="4"/>
  <c r="G103" i="4"/>
  <c r="I61" i="4"/>
  <c r="H46" i="4"/>
  <c r="I109" i="4"/>
  <c r="I34" i="4"/>
  <c r="F72" i="4"/>
  <c r="H100" i="4"/>
  <c r="G36" i="4"/>
  <c r="H109" i="4"/>
  <c r="F40" i="4"/>
  <c r="H95" i="4"/>
  <c r="I71" i="4"/>
  <c r="G75" i="4"/>
  <c r="F112" i="4"/>
  <c r="I89" i="4"/>
  <c r="F66" i="4"/>
  <c r="G45" i="4"/>
  <c r="F96" i="4"/>
  <c r="E44" i="4"/>
  <c r="I75" i="4"/>
  <c r="I24" i="4"/>
  <c r="I88" i="4"/>
  <c r="I82" i="4"/>
  <c r="E81" i="4"/>
  <c r="G79" i="4"/>
  <c r="E102" i="4"/>
  <c r="F56" i="4"/>
  <c r="I25" i="4"/>
  <c r="I110" i="4"/>
  <c r="H28" i="4"/>
  <c r="I6" i="4"/>
  <c r="H75" i="4"/>
  <c r="I26" i="4"/>
  <c r="G71" i="4"/>
  <c r="I98" i="4"/>
  <c r="I92" i="4"/>
  <c r="E87" i="4"/>
  <c r="G61" i="4"/>
  <c r="F114" i="4"/>
  <c r="I50" i="4"/>
  <c r="F11" i="4"/>
  <c r="E69" i="4"/>
  <c r="G37" i="4"/>
  <c r="H114" i="4"/>
  <c r="I55" i="4"/>
  <c r="I32" i="4"/>
  <c r="I93" i="4"/>
  <c r="I80" i="4"/>
  <c r="E97" i="4"/>
  <c r="I85" i="4"/>
  <c r="H66" i="4"/>
  <c r="F35" i="4"/>
  <c r="F3" i="4"/>
  <c r="F70" i="4"/>
  <c r="H37" i="4"/>
  <c r="F22" i="4"/>
  <c r="E36" i="4"/>
  <c r="F100" i="4"/>
  <c r="H21" i="4"/>
  <c r="H44" i="4"/>
  <c r="H27" i="4"/>
  <c r="E104" i="4"/>
  <c r="H38" i="4"/>
  <c r="H89" i="4"/>
  <c r="G67" i="4"/>
  <c r="G48" i="4"/>
  <c r="H81" i="4"/>
  <c r="H94" i="4"/>
  <c r="E111" i="4"/>
  <c r="I33" i="4"/>
  <c r="I30" i="4"/>
  <c r="G11" i="4"/>
  <c r="F81" i="4"/>
  <c r="F43" i="4"/>
  <c r="F33" i="4"/>
  <c r="G87" i="4"/>
  <c r="I22" i="4"/>
  <c r="G125" i="4"/>
  <c r="H8" i="4"/>
  <c r="H36" i="4"/>
  <c r="F83" i="4"/>
  <c r="I117" i="4"/>
  <c r="F73" i="4"/>
  <c r="G94" i="4"/>
  <c r="H98" i="4"/>
  <c r="I65" i="4"/>
  <c r="H88" i="4"/>
  <c r="H25" i="4"/>
  <c r="G115" i="4"/>
  <c r="G70" i="4"/>
  <c r="G19" i="4"/>
  <c r="G20" i="4"/>
  <c r="I4" i="4"/>
  <c r="H31" i="4"/>
  <c r="I86" i="4"/>
  <c r="F98" i="4"/>
  <c r="G59" i="4"/>
  <c r="I38" i="4"/>
  <c r="I122" i="4"/>
  <c r="H50" i="4"/>
  <c r="I87" i="4"/>
  <c r="G126" i="4"/>
  <c r="F115" i="4"/>
  <c r="G16" i="4"/>
  <c r="F117" i="4"/>
  <c r="H2" i="4"/>
  <c r="E8" i="4"/>
  <c r="E100" i="4"/>
  <c r="E48" i="4"/>
  <c r="F124" i="4"/>
  <c r="H35" i="4"/>
  <c r="G111" i="4"/>
  <c r="I28" i="4"/>
  <c r="F15" i="4"/>
  <c r="F46" i="4"/>
  <c r="G5" i="4"/>
  <c r="G13" i="4"/>
  <c r="I116" i="4"/>
  <c r="F87" i="4"/>
  <c r="H18" i="4"/>
  <c r="F61" i="4"/>
  <c r="G76" i="4"/>
  <c r="E9" i="4"/>
  <c r="E51" i="4"/>
  <c r="F45" i="4"/>
  <c r="E117" i="4"/>
  <c r="G44" i="4"/>
  <c r="I100" i="4"/>
  <c r="F74" i="4"/>
  <c r="F109" i="4"/>
  <c r="G80" i="4"/>
  <c r="F118" i="4"/>
  <c r="G31" i="4"/>
  <c r="H82" i="4"/>
  <c r="E50" i="4"/>
  <c r="H84" i="4"/>
  <c r="G43" i="4"/>
  <c r="G73" i="4"/>
  <c r="E95" i="4"/>
  <c r="G91" i="4"/>
  <c r="H68" i="4"/>
  <c r="E11" i="4"/>
  <c r="G23" i="4"/>
  <c r="I42" i="4"/>
  <c r="G27" i="4"/>
  <c r="H104" i="4"/>
  <c r="G77" i="4"/>
  <c r="E24" i="4"/>
  <c r="I72" i="4"/>
  <c r="G117" i="4"/>
  <c r="I36" i="4"/>
  <c r="I77" i="4"/>
  <c r="I118" i="4"/>
  <c r="H77" i="4"/>
  <c r="G66" i="4"/>
  <c r="G98" i="4"/>
  <c r="E30" i="4"/>
  <c r="H58" i="4"/>
  <c r="E113" i="4"/>
  <c r="I49" i="4"/>
  <c r="I45" i="4"/>
  <c r="G122" i="4"/>
  <c r="I83" i="4"/>
  <c r="H80" i="4"/>
  <c r="G118" i="4"/>
  <c r="I16" i="4"/>
  <c r="G83" i="4"/>
  <c r="E83" i="4"/>
  <c r="F82" i="4"/>
  <c r="E33" i="4"/>
  <c r="F4" i="4"/>
  <c r="E56" i="4"/>
  <c r="H112" i="4"/>
  <c r="H86" i="4"/>
  <c r="I113" i="4"/>
  <c r="G96" i="4"/>
  <c r="E125" i="4"/>
  <c r="E75" i="4"/>
  <c r="F62" i="4"/>
  <c r="G32" i="4"/>
  <c r="E10" i="4"/>
  <c r="H43" i="4"/>
  <c r="H7" i="4"/>
  <c r="E90" i="4"/>
  <c r="G113" i="4"/>
  <c r="E110" i="4"/>
  <c r="E7" i="4"/>
  <c r="H110" i="4"/>
  <c r="I37" i="4"/>
  <c r="F44" i="4"/>
  <c r="G100" i="4"/>
  <c r="G2" i="4"/>
  <c r="F27" i="4"/>
  <c r="I125" i="4"/>
  <c r="I68" i="4"/>
  <c r="G99" i="4"/>
  <c r="F103" i="4"/>
  <c r="F34" i="4"/>
  <c r="E46" i="4"/>
  <c r="E78" i="4"/>
  <c r="F28" i="4"/>
  <c r="E12" i="4"/>
  <c r="H72" i="4"/>
  <c r="F64" i="4"/>
  <c r="F93" i="4"/>
  <c r="I51" i="4"/>
  <c r="E124" i="4"/>
  <c r="E118" i="4"/>
  <c r="H122" i="4"/>
  <c r="E70" i="4"/>
  <c r="E19" i="4"/>
  <c r="F78" i="4"/>
  <c r="H103" i="4"/>
  <c r="H97" i="4"/>
  <c r="H56" i="4"/>
  <c r="H126" i="4"/>
  <c r="E3" i="4"/>
  <c r="F80" i="4"/>
  <c r="E80" i="4"/>
  <c r="I112" i="4"/>
  <c r="H65" i="4"/>
  <c r="F14" i="4"/>
  <c r="E105" i="4"/>
  <c r="G52" i="4"/>
  <c r="G90" i="4"/>
  <c r="I13" i="4"/>
  <c r="I119" i="4"/>
  <c r="I120" i="4"/>
  <c r="I108" i="4"/>
  <c r="F26" i="4"/>
  <c r="E103" i="4"/>
  <c r="F84" i="4"/>
  <c r="E17" i="4"/>
  <c r="H17" i="4"/>
  <c r="I63" i="4"/>
  <c r="I106" i="4"/>
  <c r="I114" i="4"/>
  <c r="F32" i="4"/>
  <c r="G25" i="4"/>
  <c r="G17" i="4"/>
  <c r="G63" i="4"/>
  <c r="F91" i="4"/>
  <c r="I57" i="4"/>
  <c r="F25" i="4"/>
  <c r="E106" i="4"/>
  <c r="E99" i="4"/>
  <c r="I2" i="4"/>
  <c r="G42" i="4"/>
  <c r="E92" i="4"/>
  <c r="E53" i="4"/>
  <c r="F126" i="4"/>
  <c r="I44" i="4"/>
  <c r="I91" i="4"/>
  <c r="E20" i="4"/>
  <c r="F29" i="4"/>
  <c r="G53" i="4"/>
  <c r="G101" i="4"/>
  <c r="E60" i="4"/>
  <c r="G58" i="4"/>
  <c r="H10" i="4"/>
  <c r="F63" i="4"/>
  <c r="G62" i="4"/>
  <c r="E119" i="4"/>
  <c r="G33" i="4"/>
  <c r="F47" i="4"/>
  <c r="F85" i="4"/>
  <c r="E6" i="4"/>
  <c r="F49" i="4"/>
  <c r="I53" i="4"/>
  <c r="G9" i="4"/>
  <c r="E67" i="4"/>
  <c r="I123" i="4"/>
  <c r="F79" i="4"/>
  <c r="F119" i="4"/>
  <c r="I95" i="4"/>
  <c r="H26" i="4"/>
  <c r="F42" i="4"/>
  <c r="E116" i="4"/>
  <c r="F50" i="4"/>
  <c r="K4" i="26" l="1"/>
  <c r="J4" i="26"/>
  <c r="G4" i="26" s="1"/>
  <c r="J3" i="26"/>
  <c r="G3" i="26" s="1"/>
  <c r="K6" i="26"/>
  <c r="J9" i="26"/>
  <c r="G9" i="26" s="1"/>
  <c r="K7" i="26"/>
  <c r="J6" i="26"/>
  <c r="G6" i="26" s="1"/>
  <c r="J8" i="26"/>
  <c r="G8" i="26" s="1"/>
  <c r="K5" i="26"/>
  <c r="K8" i="26"/>
  <c r="K3" i="26"/>
  <c r="J7" i="26"/>
  <c r="G7" i="26" s="1"/>
  <c r="J5" i="26"/>
  <c r="G5" i="26" s="1"/>
  <c r="K9" i="26"/>
  <c r="H4" i="26" l="1"/>
  <c r="I4" i="26" s="1"/>
  <c r="H9" i="26"/>
  <c r="I9" i="26" s="1"/>
  <c r="H7" i="26"/>
  <c r="I7" i="26" s="1"/>
  <c r="H3" i="26"/>
  <c r="I3" i="26" s="1"/>
  <c r="H8" i="26"/>
  <c r="I8" i="26" s="1"/>
  <c r="H5" i="26"/>
  <c r="I5" i="26" s="1"/>
  <c r="H6" i="26"/>
  <c r="I6" i="26" s="1"/>
  <c r="C25" i="6"/>
  <c r="D27" i="6"/>
  <c r="D14" i="6" l="1"/>
  <c r="AA9" i="26"/>
  <c r="AA11" i="26" a="1"/>
  <c r="J1" i="4" a="1"/>
  <c r="S11" i="26"/>
  <c r="P34" i="26"/>
  <c r="S31" i="26"/>
  <c r="P36" i="26"/>
  <c r="T19" i="26"/>
  <c r="S30" i="26"/>
  <c r="S45" i="26"/>
  <c r="S26" i="26"/>
  <c r="C24" i="6"/>
  <c r="T32" i="26"/>
  <c r="P16" i="26"/>
  <c r="S19" i="26"/>
  <c r="S39" i="26"/>
  <c r="S17" i="26"/>
  <c r="P21" i="26"/>
  <c r="S36" i="26"/>
  <c r="T42" i="26"/>
  <c r="T46" i="26"/>
  <c r="P45" i="26"/>
  <c r="T41" i="26"/>
  <c r="P38" i="26"/>
  <c r="S33" i="26"/>
  <c r="S28" i="26"/>
  <c r="S20" i="26"/>
  <c r="T27" i="26"/>
  <c r="T21" i="26"/>
  <c r="P40" i="26"/>
  <c r="P11" i="26"/>
  <c r="T20" i="26"/>
  <c r="S35" i="26"/>
  <c r="P24" i="26"/>
  <c r="S29" i="26"/>
  <c r="T30" i="26"/>
  <c r="P18" i="26"/>
  <c r="T44" i="26"/>
  <c r="T36" i="26"/>
  <c r="T15" i="26"/>
  <c r="T17" i="26"/>
  <c r="T13" i="26"/>
  <c r="S43" i="26"/>
  <c r="S18" i="26"/>
  <c r="P12" i="26"/>
  <c r="T40" i="26"/>
  <c r="P35" i="26"/>
  <c r="P13" i="26"/>
  <c r="S34" i="26"/>
  <c r="P39" i="26"/>
  <c r="S12" i="26"/>
  <c r="T38" i="26"/>
  <c r="P27" i="26"/>
  <c r="S14" i="26"/>
  <c r="T28" i="26"/>
  <c r="S41" i="26"/>
  <c r="S15" i="26"/>
  <c r="T23" i="26"/>
  <c r="T14" i="26"/>
  <c r="S25" i="26"/>
  <c r="P44" i="26"/>
  <c r="P32" i="26"/>
  <c r="T24" i="26"/>
  <c r="P26" i="26"/>
  <c r="P25" i="26"/>
  <c r="D15" i="6"/>
  <c r="S44" i="26"/>
  <c r="S38" i="26"/>
  <c r="P29" i="26"/>
  <c r="P41" i="26"/>
  <c r="P46" i="26"/>
  <c r="S42" i="26"/>
  <c r="P43" i="26"/>
  <c r="P23" i="26"/>
  <c r="P20" i="26"/>
  <c r="T45" i="26"/>
  <c r="T33" i="26"/>
  <c r="S46" i="26"/>
  <c r="T22" i="26"/>
  <c r="T31" i="26"/>
  <c r="S16" i="26"/>
  <c r="T35" i="26"/>
  <c r="P15" i="26"/>
  <c r="P31" i="26"/>
  <c r="T34" i="26"/>
  <c r="T11" i="26"/>
  <c r="S24" i="26"/>
  <c r="P14" i="26"/>
  <c r="T39" i="26"/>
  <c r="S13" i="26"/>
  <c r="P17" i="26"/>
  <c r="P37" i="26"/>
  <c r="T18" i="26"/>
  <c r="P42" i="26"/>
  <c r="S27" i="26"/>
  <c r="T43" i="26"/>
  <c r="T16" i="26"/>
  <c r="T37" i="26"/>
  <c r="J15" i="26"/>
  <c r="S23" i="26"/>
  <c r="T12" i="26"/>
  <c r="T26" i="26"/>
  <c r="S40" i="26"/>
  <c r="P22" i="26"/>
  <c r="P19" i="26"/>
  <c r="P28" i="26"/>
  <c r="T25" i="26"/>
  <c r="S32" i="26"/>
  <c r="S21" i="26"/>
  <c r="P33" i="26"/>
  <c r="S37" i="26"/>
  <c r="P30" i="26"/>
  <c r="T29" i="26"/>
  <c r="S22" i="26"/>
  <c r="U29" i="26" l="1"/>
  <c r="U25" i="26"/>
  <c r="U26" i="26"/>
  <c r="U12" i="26"/>
  <c r="U37" i="26"/>
  <c r="U16" i="26"/>
  <c r="U43" i="26"/>
  <c r="U18" i="26"/>
  <c r="U39" i="26"/>
  <c r="U11" i="26"/>
  <c r="V11" i="26" s="1" a="1"/>
  <c r="V11" i="26" s="1"/>
  <c r="U34" i="26"/>
  <c r="U35" i="26"/>
  <c r="U31" i="26"/>
  <c r="U22" i="26"/>
  <c r="U33" i="26"/>
  <c r="U45" i="26"/>
  <c r="U24" i="26"/>
  <c r="U14" i="26"/>
  <c r="U23" i="26"/>
  <c r="U28" i="26"/>
  <c r="U38" i="26"/>
  <c r="U40" i="26"/>
  <c r="U13" i="26"/>
  <c r="U17" i="26"/>
  <c r="U15" i="26"/>
  <c r="U36" i="26"/>
  <c r="U44" i="26"/>
  <c r="U30" i="26"/>
  <c r="U20" i="26"/>
  <c r="U21" i="26"/>
  <c r="U27" i="26"/>
  <c r="U41" i="26"/>
  <c r="U46" i="26"/>
  <c r="U42" i="26"/>
  <c r="U32" i="26"/>
  <c r="U19" i="26"/>
  <c r="J1" i="4"/>
  <c r="J77" i="4"/>
  <c r="J17" i="4"/>
  <c r="J19" i="4"/>
  <c r="J58" i="4"/>
  <c r="J66" i="4"/>
  <c r="J121" i="4"/>
  <c r="J30" i="4"/>
  <c r="J16" i="4"/>
  <c r="J9" i="4"/>
  <c r="J55" i="4"/>
  <c r="J69" i="4"/>
  <c r="J40" i="4"/>
  <c r="J20" i="4"/>
  <c r="J89" i="4"/>
  <c r="J27" i="4"/>
  <c r="J113" i="4"/>
  <c r="J100" i="4"/>
  <c r="J102" i="4"/>
  <c r="J8" i="4"/>
  <c r="J51" i="4"/>
  <c r="J60" i="4"/>
  <c r="J76" i="4"/>
  <c r="J86" i="4"/>
  <c r="J115" i="4"/>
  <c r="J10" i="4"/>
  <c r="J42" i="4"/>
  <c r="J24" i="4"/>
  <c r="J93" i="4"/>
  <c r="J63" i="4"/>
  <c r="J74" i="4"/>
  <c r="J96" i="4"/>
  <c r="J41" i="4"/>
  <c r="J53" i="4"/>
  <c r="J2" i="4"/>
  <c r="J105" i="4"/>
  <c r="J98" i="4"/>
  <c r="J14" i="4"/>
  <c r="J12" i="4"/>
  <c r="J107" i="4"/>
  <c r="J44" i="4"/>
  <c r="J91" i="4"/>
  <c r="J85" i="4"/>
  <c r="J92" i="4"/>
  <c r="J78" i="4"/>
  <c r="J4" i="4"/>
  <c r="J103" i="4"/>
  <c r="J110" i="4"/>
  <c r="J108" i="4"/>
  <c r="J64" i="4"/>
  <c r="J119" i="4"/>
  <c r="J70" i="4"/>
  <c r="J50" i="4"/>
  <c r="J87" i="4"/>
  <c r="J43" i="4"/>
  <c r="J114" i="4"/>
  <c r="J79" i="4"/>
  <c r="J32" i="4"/>
  <c r="J125" i="4"/>
  <c r="J7" i="4"/>
  <c r="J48" i="4"/>
  <c r="J68" i="4"/>
  <c r="J31" i="4"/>
  <c r="J67" i="4"/>
  <c r="J57" i="4"/>
  <c r="J83" i="4"/>
  <c r="J34" i="4"/>
  <c r="J45" i="4"/>
  <c r="J18" i="4"/>
  <c r="J82" i="4"/>
  <c r="J13" i="4"/>
  <c r="J122" i="4"/>
  <c r="J37" i="4"/>
  <c r="J23" i="4"/>
  <c r="J5" i="4"/>
  <c r="J33" i="4"/>
  <c r="J94" i="4"/>
  <c r="J35" i="4"/>
  <c r="J15" i="4"/>
  <c r="J104" i="4"/>
  <c r="J11" i="4"/>
  <c r="J49" i="4"/>
  <c r="J72" i="4"/>
  <c r="J75" i="4"/>
  <c r="J73" i="4"/>
  <c r="J111" i="4"/>
  <c r="J126" i="4"/>
  <c r="J54" i="4"/>
  <c r="J3" i="4"/>
  <c r="J90" i="4"/>
  <c r="J65" i="4"/>
  <c r="J120" i="4"/>
  <c r="J61" i="4"/>
  <c r="J117" i="4"/>
  <c r="J38" i="4"/>
  <c r="J116" i="4"/>
  <c r="J106" i="4"/>
  <c r="J88" i="4"/>
  <c r="J81" i="4"/>
  <c r="J29" i="4"/>
  <c r="J101" i="4"/>
  <c r="J80" i="4"/>
  <c r="J36" i="4"/>
  <c r="J112" i="4"/>
  <c r="J56" i="4"/>
  <c r="J47" i="4"/>
  <c r="J28" i="4"/>
  <c r="J123" i="4"/>
  <c r="J118" i="4"/>
  <c r="J26" i="4"/>
  <c r="J95" i="4"/>
  <c r="J46" i="4"/>
  <c r="J62" i="4"/>
  <c r="J99" i="4"/>
  <c r="J22" i="4"/>
  <c r="J25" i="4"/>
  <c r="J71" i="4"/>
  <c r="J84" i="4"/>
  <c r="J39" i="4"/>
  <c r="J124" i="4"/>
  <c r="J21" i="4"/>
  <c r="J97" i="4"/>
  <c r="J52" i="4"/>
  <c r="J59" i="4"/>
  <c r="J6" i="4"/>
  <c r="J109" i="4"/>
  <c r="AA74" i="26"/>
  <c r="AA1734" i="26"/>
  <c r="AA3258" i="26"/>
  <c r="AA3185" i="26"/>
  <c r="AA2780" i="26"/>
  <c r="AA1424" i="26"/>
  <c r="AA3360" i="26"/>
  <c r="AA449" i="26"/>
  <c r="AA2998" i="26"/>
  <c r="AA1471" i="26"/>
  <c r="AA1364" i="26"/>
  <c r="AA2423" i="26"/>
  <c r="AA2317" i="26"/>
  <c r="AA3165" i="26"/>
  <c r="AA1921" i="26"/>
  <c r="AA1003" i="26"/>
  <c r="AA1196" i="26"/>
  <c r="AA1863" i="26"/>
  <c r="AA1002" i="26"/>
  <c r="AA2095" i="26"/>
  <c r="AA2790" i="26"/>
  <c r="AA1048" i="26"/>
  <c r="AA3180" i="26"/>
  <c r="AA3533" i="26"/>
  <c r="AA359" i="26"/>
  <c r="AA2782" i="26"/>
  <c r="AA1882" i="26"/>
  <c r="AA1087" i="26"/>
  <c r="AA2676" i="26"/>
  <c r="AA242" i="26"/>
  <c r="AA1972" i="26"/>
  <c r="AA1515" i="26"/>
  <c r="AA3151" i="26"/>
  <c r="AA1630" i="26"/>
  <c r="AA2228" i="26"/>
  <c r="AA144" i="26"/>
  <c r="AA390" i="26"/>
  <c r="AA2675" i="26"/>
  <c r="AA2207" i="26"/>
  <c r="AA1108" i="26"/>
  <c r="AA3114" i="26"/>
  <c r="AA2600" i="26"/>
  <c r="AA167" i="26"/>
  <c r="AA569" i="26"/>
  <c r="AA628" i="26"/>
  <c r="AA853" i="26"/>
  <c r="AA752" i="26"/>
  <c r="AA147" i="26"/>
  <c r="AA2807" i="26"/>
  <c r="AA175" i="26"/>
  <c r="AA2469" i="26"/>
  <c r="AA3308" i="26"/>
  <c r="AA2929" i="26"/>
  <c r="AA2507" i="26"/>
  <c r="AA501" i="26"/>
  <c r="AA2140" i="26"/>
  <c r="AA1444" i="26"/>
  <c r="AA792" i="26"/>
  <c r="AA564" i="26"/>
  <c r="AA3321" i="26"/>
  <c r="AA2014" i="26"/>
  <c r="AA1967" i="26"/>
  <c r="AA2968" i="26"/>
  <c r="AA129" i="26"/>
  <c r="AA2575" i="26"/>
  <c r="AA3213" i="26"/>
  <c r="AA1469" i="26"/>
  <c r="AA3357" i="26"/>
  <c r="AA697" i="26"/>
  <c r="AA300" i="26"/>
  <c r="AA3334" i="26"/>
  <c r="AA1288" i="26"/>
  <c r="AA818" i="26"/>
  <c r="AA3255" i="26"/>
  <c r="AA844" i="26"/>
  <c r="AA2986" i="26"/>
  <c r="AA2283" i="26"/>
  <c r="AA943" i="26"/>
  <c r="AA598" i="26"/>
  <c r="AA3540" i="26"/>
  <c r="AA1897" i="26"/>
  <c r="AA3028" i="26"/>
  <c r="AA2574" i="26"/>
  <c r="AA444" i="26"/>
  <c r="AA3453" i="26"/>
  <c r="AA860" i="26"/>
  <c r="AA1357" i="26"/>
  <c r="AA2545" i="26"/>
  <c r="AA1445" i="26"/>
  <c r="AA2784" i="26"/>
  <c r="AA2139" i="26"/>
  <c r="AA2608" i="26"/>
  <c r="AA873" i="26"/>
  <c r="AA2488" i="26"/>
  <c r="AA2547" i="26"/>
  <c r="AA516" i="26"/>
  <c r="AA2176" i="26"/>
  <c r="AA813" i="26"/>
  <c r="AA2447" i="26"/>
  <c r="AA336" i="26"/>
  <c r="AA906" i="26"/>
  <c r="AA3430" i="26"/>
  <c r="AA54" i="26"/>
  <c r="AA2850" i="26"/>
  <c r="AA26" i="26"/>
  <c r="AA3488" i="26"/>
  <c r="AA3365" i="26"/>
  <c r="AA2793" i="26"/>
  <c r="AA1656" i="26"/>
  <c r="AA40" i="26"/>
  <c r="AA1903" i="26"/>
  <c r="AA1683" i="26"/>
  <c r="AA1200" i="26"/>
  <c r="AA3024" i="26"/>
  <c r="AA1778" i="26"/>
  <c r="AA2903" i="26"/>
  <c r="AA493" i="26"/>
  <c r="AA1279" i="26"/>
  <c r="AA1561" i="26"/>
  <c r="AA486" i="26"/>
  <c r="AA1835" i="26"/>
  <c r="AA1833" i="26"/>
  <c r="AA3022" i="26"/>
  <c r="AA1724" i="26"/>
  <c r="AA616" i="26"/>
  <c r="AA3095" i="26"/>
  <c r="AA918" i="26"/>
  <c r="AA2484" i="26"/>
  <c r="AA2337" i="26"/>
  <c r="AA2315" i="26"/>
  <c r="AA1691" i="26"/>
  <c r="AA2882" i="26"/>
  <c r="AA1976" i="26"/>
  <c r="AA599" i="26"/>
  <c r="AA2899" i="26"/>
  <c r="AA1879" i="26"/>
  <c r="AA559" i="26"/>
  <c r="AA3271" i="26"/>
  <c r="AA1320" i="26"/>
  <c r="AA1652" i="26"/>
  <c r="AA1909" i="26"/>
  <c r="AA2862" i="26"/>
  <c r="AA687" i="26"/>
  <c r="AA1360" i="26"/>
  <c r="AA567" i="26"/>
  <c r="AA2562" i="26"/>
  <c r="AA1543" i="26"/>
  <c r="AA3117" i="26"/>
  <c r="AA1090" i="26"/>
  <c r="AA973" i="26"/>
  <c r="AA994" i="26"/>
  <c r="AA2934" i="26"/>
  <c r="AA3354" i="26"/>
  <c r="AA1252" i="26"/>
  <c r="AA3007" i="26"/>
  <c r="AA3065" i="26"/>
  <c r="AA2078" i="26"/>
  <c r="AA1944" i="26"/>
  <c r="AA2062" i="26"/>
  <c r="AA2073" i="26"/>
  <c r="AA1510" i="26"/>
  <c r="AA2923" i="26"/>
  <c r="AA1707" i="26"/>
  <c r="AA2682" i="26"/>
  <c r="AA3262" i="26"/>
  <c r="AA578" i="26"/>
  <c r="AA2904" i="26"/>
  <c r="AA3372" i="26"/>
  <c r="AA2065" i="26"/>
  <c r="AA1334" i="26"/>
  <c r="AA926" i="26"/>
  <c r="AA379" i="26"/>
  <c r="AA2146" i="26"/>
  <c r="AA2766" i="26"/>
  <c r="AA1437" i="26"/>
  <c r="AA227" i="26"/>
  <c r="AA58" i="26"/>
  <c r="AA3200" i="26"/>
  <c r="AA1573" i="26"/>
  <c r="AA2155" i="26"/>
  <c r="AA3052" i="26"/>
  <c r="AA1940" i="26"/>
  <c r="AA3353" i="26"/>
  <c r="AA1297" i="26"/>
  <c r="AA2669" i="26"/>
  <c r="AA898" i="26"/>
  <c r="AA1165" i="26"/>
  <c r="AA1250" i="26"/>
  <c r="AA2820" i="26"/>
  <c r="AA503" i="26"/>
  <c r="AA2455" i="26"/>
  <c r="AA3294" i="26"/>
  <c r="AA3131" i="26"/>
  <c r="AA1960" i="26"/>
  <c r="AA1433" i="26"/>
  <c r="AA1538" i="26"/>
  <c r="AA3282" i="26"/>
  <c r="AA216" i="26"/>
  <c r="AA2298" i="26"/>
  <c r="AA295" i="26"/>
  <c r="AA211" i="26"/>
  <c r="AA1412" i="26"/>
  <c r="AA1121" i="26"/>
  <c r="AA1042" i="26"/>
  <c r="AA496" i="26"/>
  <c r="AA3324" i="26"/>
  <c r="AA1454" i="26"/>
  <c r="AA2240" i="26"/>
  <c r="AA2741" i="26"/>
  <c r="AA843" i="26"/>
  <c r="AA3086" i="26"/>
  <c r="AA1539" i="26"/>
  <c r="AA2274" i="26"/>
  <c r="AA253" i="26"/>
  <c r="AA753" i="26"/>
  <c r="AA2620" i="26"/>
  <c r="AA888" i="26"/>
  <c r="AA3202" i="26"/>
  <c r="AA402" i="26"/>
  <c r="AA1977" i="26"/>
  <c r="AA1542" i="26"/>
  <c r="AA174" i="26"/>
  <c r="AA852" i="26"/>
  <c r="AA602" i="26"/>
  <c r="AA3193" i="26"/>
  <c r="AA1016" i="26"/>
  <c r="AA290" i="26"/>
  <c r="AA3406" i="26"/>
  <c r="AA2732" i="26"/>
  <c r="AA1590" i="26"/>
  <c r="AA2855" i="26"/>
  <c r="AA2069" i="26"/>
  <c r="AA721" i="26"/>
  <c r="AA2268" i="26"/>
  <c r="AA1251" i="26"/>
  <c r="AA1214" i="26"/>
  <c r="AA380" i="26"/>
  <c r="AA573" i="26"/>
  <c r="AA2388" i="26"/>
  <c r="AA311" i="26"/>
  <c r="AA2260" i="26"/>
  <c r="AA560" i="26"/>
  <c r="AA164" i="26"/>
  <c r="AA3528" i="26"/>
  <c r="AA2035" i="26"/>
  <c r="AA3233" i="26"/>
  <c r="AA1815" i="26"/>
  <c r="AA1019" i="26"/>
  <c r="AA2418" i="26"/>
  <c r="AA2781" i="26"/>
  <c r="AA3461" i="26"/>
  <c r="AA350" i="26"/>
  <c r="AA597" i="26"/>
  <c r="AA3042" i="26"/>
  <c r="AA863" i="26"/>
  <c r="AA2249" i="26"/>
  <c r="AA968" i="26"/>
  <c r="AA95" i="26"/>
  <c r="AA1204" i="26"/>
  <c r="AA3543" i="26"/>
  <c r="AA2156" i="26"/>
  <c r="AA2497" i="26"/>
  <c r="AA348" i="26"/>
  <c r="AA1893" i="26"/>
  <c r="AA3208" i="26"/>
  <c r="AA607" i="26"/>
  <c r="AA109" i="26"/>
  <c r="AA2990" i="26"/>
  <c r="AA2279" i="26"/>
  <c r="AA214" i="26"/>
  <c r="AA3370" i="26"/>
  <c r="AA894" i="26"/>
  <c r="AA2451" i="26"/>
  <c r="AA1720" i="26"/>
  <c r="AA1770" i="26"/>
  <c r="AA66" i="26"/>
  <c r="AA1786" i="26"/>
  <c r="AA736" i="26"/>
  <c r="AA383" i="26"/>
  <c r="AA1491" i="26"/>
  <c r="AA2341" i="26"/>
  <c r="AA2135" i="26"/>
  <c r="AA746" i="26"/>
  <c r="AA232" i="26"/>
  <c r="AA3270" i="26"/>
  <c r="AA2614" i="26"/>
  <c r="AA1127" i="26"/>
  <c r="AA1990" i="26"/>
  <c r="AA2908" i="26"/>
  <c r="AA2252" i="26"/>
  <c r="AA3021" i="26"/>
  <c r="AA1995" i="26"/>
  <c r="AA1483" i="26"/>
  <c r="AA2319" i="26"/>
  <c r="AA1673" i="26"/>
  <c r="AA562" i="26"/>
  <c r="AA2783" i="26"/>
  <c r="AA67" i="26"/>
  <c r="AA2374" i="26"/>
  <c r="AA955" i="26"/>
  <c r="AA1818" i="26"/>
  <c r="AA3035" i="26"/>
  <c r="AA345" i="26"/>
  <c r="AA2555" i="26"/>
  <c r="AA691" i="26"/>
  <c r="AA1810" i="26"/>
  <c r="AA1625" i="26"/>
  <c r="AA3063" i="26"/>
  <c r="AA2355" i="26"/>
  <c r="AA880" i="26"/>
  <c r="AA1551" i="26"/>
  <c r="AA1780" i="26"/>
  <c r="AA3115" i="26"/>
  <c r="AA706" i="26"/>
  <c r="AA2842" i="26"/>
  <c r="AA148" i="26"/>
  <c r="AA2100" i="26"/>
  <c r="AA1812" i="26"/>
  <c r="AA3522" i="26"/>
  <c r="AA1074" i="26"/>
  <c r="AA2558" i="26"/>
  <c r="AA2804" i="26"/>
  <c r="AA2971" i="26"/>
  <c r="AA680" i="26"/>
  <c r="AA1270" i="26"/>
  <c r="AA465" i="26"/>
  <c r="AA2898" i="26"/>
  <c r="AA2020" i="26"/>
  <c r="AA1742" i="26"/>
  <c r="AA2320" i="26"/>
  <c r="AA1688" i="26"/>
  <c r="AA2928" i="26"/>
  <c r="AA2168" i="26"/>
  <c r="AA712" i="26"/>
  <c r="AA593" i="26"/>
  <c r="AA1527" i="26"/>
  <c r="AA2762" i="26"/>
  <c r="AA2690" i="26"/>
  <c r="AA828" i="26"/>
  <c r="AA886" i="26"/>
  <c r="AA2321" i="26"/>
  <c r="AA3486" i="26"/>
  <c r="AA1309" i="26"/>
  <c r="AA2746" i="26"/>
  <c r="AA2117" i="26"/>
  <c r="AA648" i="26"/>
  <c r="AA2914" i="26"/>
  <c r="AA1571" i="26"/>
  <c r="AA2448" i="26"/>
  <c r="AA1547" i="26"/>
  <c r="AA2597" i="26"/>
  <c r="AA3232" i="26"/>
  <c r="AA143" i="26"/>
  <c r="AA868" i="26"/>
  <c r="AA448" i="26"/>
  <c r="AA2060" i="26"/>
  <c r="AA2120" i="26"/>
  <c r="AA1024" i="26"/>
  <c r="AA2642" i="26"/>
  <c r="AA2485" i="26"/>
  <c r="AA1228" i="26"/>
  <c r="AA1079" i="26"/>
  <c r="AA704" i="26"/>
  <c r="AA1146" i="26"/>
  <c r="AA872" i="26"/>
  <c r="AA2459" i="26"/>
  <c r="AA3243" i="26"/>
  <c r="AA2945" i="26"/>
  <c r="AA268" i="26"/>
  <c r="AA2270" i="26"/>
  <c r="AA1521" i="26"/>
  <c r="AA2595" i="26"/>
  <c r="AA2336" i="26"/>
  <c r="AA1623" i="26"/>
  <c r="AA2134" i="26"/>
  <c r="AA70" i="26"/>
  <c r="AA1796" i="26"/>
  <c r="AA1103" i="26"/>
  <c r="AA212" i="26"/>
  <c r="AA1496" i="26"/>
  <c r="AA130" i="26"/>
  <c r="AA1570" i="26"/>
  <c r="AA2312" i="26"/>
  <c r="AA2392" i="26"/>
  <c r="AA83" i="26"/>
  <c r="AA399" i="26"/>
  <c r="AA861" i="26"/>
  <c r="AA3379" i="26"/>
  <c r="AA1645" i="26"/>
  <c r="AA1999" i="26"/>
  <c r="AA3075" i="26"/>
  <c r="AA836" i="26"/>
  <c r="AA2340" i="26"/>
  <c r="AA367" i="26"/>
  <c r="AA1607" i="26"/>
  <c r="AA1047" i="26"/>
  <c r="AA241" i="26"/>
  <c r="AA2941" i="26"/>
  <c r="AA2164" i="26"/>
  <c r="AA3284" i="26"/>
  <c r="AA2036" i="26"/>
  <c r="AA102" i="26"/>
  <c r="AA2218" i="26"/>
  <c r="AA2984" i="26"/>
  <c r="AA114" i="26"/>
  <c r="AA1134" i="26"/>
  <c r="AA3466" i="26"/>
  <c r="AA2905" i="26"/>
  <c r="AA2429" i="26"/>
  <c r="AA2548" i="26"/>
  <c r="AA744" i="26"/>
  <c r="AA1756" i="26"/>
  <c r="AA1116" i="26"/>
  <c r="AA2740" i="26"/>
  <c r="AA259" i="26"/>
  <c r="AA1531" i="26"/>
  <c r="AA3210" i="26"/>
  <c r="AA1254" i="26"/>
  <c r="AA1597" i="26"/>
  <c r="AA2490" i="26"/>
  <c r="AA953" i="26"/>
  <c r="AA997" i="26"/>
  <c r="AA1353" i="26"/>
  <c r="AA132" i="26"/>
  <c r="AA2844" i="26"/>
  <c r="AA3215" i="26"/>
  <c r="AA2405" i="26"/>
  <c r="AA3107" i="26"/>
  <c r="AA2267" i="26"/>
  <c r="AA1675" i="26"/>
  <c r="AA713" i="26"/>
  <c r="AA2071" i="26"/>
  <c r="AA1943" i="26"/>
  <c r="AA803" i="26"/>
  <c r="AA3318" i="26"/>
  <c r="AA2567" i="26"/>
  <c r="AA1131" i="26"/>
  <c r="AA1041" i="26"/>
  <c r="AA52" i="26"/>
  <c r="AA1832" i="26"/>
  <c r="AA1097" i="26"/>
  <c r="AA1685" i="26"/>
  <c r="AA3307" i="26"/>
  <c r="AA266" i="26"/>
  <c r="AA3302" i="26"/>
  <c r="AA2685" i="26"/>
  <c r="AA3512" i="26"/>
  <c r="AA2009" i="26"/>
  <c r="AA2191" i="26"/>
  <c r="AA137" i="26"/>
  <c r="AA2551" i="26"/>
  <c r="AA2338" i="26"/>
  <c r="AA87" i="26"/>
  <c r="AA1851" i="26"/>
  <c r="AA219" i="26"/>
  <c r="AA3196" i="26"/>
  <c r="AA1355" i="26"/>
  <c r="AA2142" i="26"/>
  <c r="AA2913" i="26"/>
  <c r="AA2658" i="26"/>
  <c r="AA3338" i="26"/>
  <c r="AA91" i="26"/>
  <c r="AA2048" i="26"/>
  <c r="AA325" i="26"/>
  <c r="AA3034" i="26"/>
  <c r="AA1714" i="26"/>
  <c r="AA3175" i="26"/>
  <c r="AA1611" i="26"/>
  <c r="AA1557" i="26"/>
  <c r="AA2794" i="26"/>
  <c r="AA171" i="26"/>
  <c r="AA722" i="26"/>
  <c r="AA2430" i="26"/>
  <c r="AA1398" i="26"/>
  <c r="AA235" i="26"/>
  <c r="AA1039" i="26"/>
  <c r="AA3218" i="26"/>
  <c r="AA2795" i="26"/>
  <c r="AA490" i="26"/>
  <c r="AA208" i="26"/>
  <c r="AA662" i="26"/>
  <c r="AA1608" i="26"/>
  <c r="AA2810" i="26"/>
  <c r="AA2266" i="26"/>
  <c r="AA3268" i="26"/>
  <c r="AA2273" i="26"/>
  <c r="AA1499" i="26"/>
  <c r="AA72" i="26"/>
  <c r="AA3502" i="26"/>
  <c r="AA940" i="26"/>
  <c r="AA2214" i="26"/>
  <c r="AA1220" i="26"/>
  <c r="AA352" i="26"/>
  <c r="AA3494" i="26"/>
  <c r="AA727" i="26"/>
  <c r="AA1592" i="26"/>
  <c r="AA962" i="26"/>
  <c r="AA2925" i="26"/>
  <c r="AA915" i="26"/>
  <c r="AA1300" i="26"/>
  <c r="AA519" i="26"/>
  <c r="AA659" i="26"/>
  <c r="AA921" i="26"/>
  <c r="AA170" i="26"/>
  <c r="AA3434" i="26"/>
  <c r="AA1760" i="26"/>
  <c r="AA2222" i="26"/>
  <c r="AA580" i="26"/>
  <c r="AA2637" i="26"/>
  <c r="AA1461" i="26"/>
  <c r="AA366" i="26"/>
  <c r="AA871" i="26"/>
  <c r="AA3305" i="26"/>
  <c r="AA203" i="26"/>
  <c r="AA1448" i="26"/>
  <c r="AA1325" i="26"/>
  <c r="AA3250" i="26"/>
  <c r="AA328" i="26"/>
  <c r="AA1674" i="26"/>
  <c r="AA2205" i="26"/>
  <c r="AA568" i="26"/>
  <c r="AA2161" i="26"/>
  <c r="AA1327" i="26"/>
  <c r="AA2206" i="26"/>
  <c r="AA1790" i="26"/>
  <c r="AA1359" i="26"/>
  <c r="AA166" i="26"/>
  <c r="AA1687" i="26"/>
  <c r="AA2641" i="26"/>
  <c r="AA2963" i="26"/>
  <c r="AA1351" i="26"/>
  <c r="AA517" i="26"/>
  <c r="AA1876" i="26"/>
  <c r="AA2839" i="26"/>
  <c r="AA1260" i="26"/>
  <c r="AA554" i="26"/>
  <c r="AA2217" i="26"/>
  <c r="AA169" i="26"/>
  <c r="AA1761" i="26"/>
  <c r="AA1598" i="26"/>
  <c r="AA747" i="26"/>
  <c r="AA2131" i="26"/>
  <c r="AA2830" i="26"/>
  <c r="AA1537" i="26"/>
  <c r="AA1142" i="26"/>
  <c r="AA1500" i="26"/>
  <c r="AA2496" i="26"/>
  <c r="AA1705" i="26"/>
  <c r="AA3061" i="26"/>
  <c r="AA2987" i="26"/>
  <c r="AA2924" i="26"/>
  <c r="AA3122" i="26"/>
  <c r="AA2372" i="26"/>
  <c r="AA2285" i="26"/>
  <c r="AA2508" i="26"/>
  <c r="AA3277" i="26"/>
  <c r="AA3358" i="26"/>
  <c r="AA3247" i="26"/>
  <c r="AA1824" i="26"/>
  <c r="AA3418" i="26"/>
  <c r="AA1301" i="26"/>
  <c r="AA2593" i="26"/>
  <c r="AA2436" i="26"/>
  <c r="AA2350" i="26"/>
  <c r="AA2144" i="26"/>
  <c r="AA1728" i="26"/>
  <c r="AA2725" i="26"/>
  <c r="AA2479" i="26"/>
  <c r="AA1900" i="26"/>
  <c r="AA282" i="26"/>
  <c r="AA1380" i="26"/>
  <c r="AA2290" i="26"/>
  <c r="AA1775" i="26"/>
  <c r="AA377" i="26"/>
  <c r="AA1938" i="26"/>
  <c r="AA2157" i="26"/>
  <c r="AA2453" i="26"/>
  <c r="AA2179" i="26"/>
  <c r="AA1362" i="26"/>
  <c r="AA49" i="26"/>
  <c r="AA1782" i="26"/>
  <c r="AA1805" i="26"/>
  <c r="AA3484" i="26"/>
  <c r="AA782" i="26"/>
  <c r="AA751" i="26"/>
  <c r="AA2618" i="26"/>
  <c r="AA1915" i="26"/>
  <c r="AA2292" i="26"/>
  <c r="AA3316" i="26"/>
  <c r="AA520" i="26"/>
  <c r="AA1007" i="26"/>
  <c r="AA1458" i="26"/>
  <c r="AA3420" i="26"/>
  <c r="AA2879" i="26"/>
  <c r="AA1795" i="26"/>
  <c r="AA1287" i="26"/>
  <c r="AA3128" i="26"/>
  <c r="AA1136" i="26"/>
  <c r="AA954" i="26"/>
  <c r="AA3446" i="26"/>
  <c r="AA2952" i="26"/>
  <c r="AA2698" i="26"/>
  <c r="AA2961" i="26"/>
  <c r="AA3244" i="26"/>
  <c r="AA515" i="26"/>
  <c r="AA1456" i="26"/>
  <c r="AA2650" i="26"/>
  <c r="AA2679" i="26"/>
  <c r="AA2693" i="26"/>
  <c r="AA3137" i="26"/>
  <c r="AA1110" i="26"/>
  <c r="AA3520" i="26"/>
  <c r="AA1123" i="26"/>
  <c r="AA674" i="26"/>
  <c r="AA1985" i="26"/>
  <c r="AA1349" i="26"/>
  <c r="AA1932" i="26"/>
  <c r="AA417" i="26"/>
  <c r="AA142" i="26"/>
  <c r="AA463" i="26"/>
  <c r="AA2518" i="26"/>
  <c r="AA788" i="26"/>
  <c r="AA3000" i="26"/>
  <c r="AA145" i="26"/>
  <c r="AA3226" i="26"/>
  <c r="AA2848" i="26"/>
  <c r="AA478" i="26"/>
  <c r="AA1825" i="26"/>
  <c r="AA2849" i="26"/>
  <c r="AA1622" i="26"/>
  <c r="AA2512" i="26"/>
  <c r="AA1834" i="26"/>
  <c r="AA205" i="26"/>
  <c r="AA2425" i="26"/>
  <c r="AA477" i="26"/>
  <c r="AA936" i="26"/>
  <c r="AA1284" i="26"/>
  <c r="AA950" i="26"/>
  <c r="AA749" i="26"/>
  <c r="AA3518" i="26"/>
  <c r="AA373" i="26"/>
  <c r="AA812" i="26"/>
  <c r="AA3120" i="26"/>
  <c r="AA2382" i="26"/>
  <c r="AA246" i="26"/>
  <c r="AA1596" i="26"/>
  <c r="AA2877" i="26"/>
  <c r="AA492" i="26"/>
  <c r="AA2665" i="26"/>
  <c r="AA2089" i="26"/>
  <c r="AA1678" i="26"/>
  <c r="AA605" i="26"/>
  <c r="AA2723" i="26"/>
  <c r="AA329" i="26"/>
  <c r="AA2516" i="26"/>
  <c r="AA1378" i="26"/>
  <c r="AA2716" i="26"/>
  <c r="AA1957" i="26"/>
  <c r="AA670" i="26"/>
  <c r="AA663" i="26"/>
  <c r="AA2132" i="26"/>
  <c r="AA1407" i="26"/>
  <c r="AA1109" i="26"/>
  <c r="AA1946" i="26"/>
  <c r="AA1256" i="26"/>
  <c r="AA2352" i="26"/>
  <c r="AA1935" i="26"/>
  <c r="AA1384" i="26"/>
  <c r="AA269" i="26"/>
  <c r="AA1408" i="26"/>
  <c r="AA887" i="26"/>
  <c r="AA2033" i="26"/>
  <c r="AA3263" i="26"/>
  <c r="AA2251" i="26"/>
  <c r="AA1403" i="26"/>
  <c r="AA3525" i="26"/>
  <c r="AA3482" i="26"/>
  <c r="AA974" i="26"/>
  <c r="AA2943" i="26"/>
  <c r="AA881" i="26"/>
  <c r="AA2364" i="26"/>
  <c r="AA686" i="26"/>
  <c r="AA3441" i="26"/>
  <c r="AA152" i="26"/>
  <c r="AA53" i="26"/>
  <c r="AA806" i="26"/>
  <c r="AA2166" i="26"/>
  <c r="AA2702" i="26"/>
  <c r="AA382" i="26"/>
  <c r="AA2694" i="26"/>
  <c r="AA2519" i="26"/>
  <c r="AA3400" i="26"/>
  <c r="AA1555" i="26"/>
  <c r="AA1308" i="26"/>
  <c r="AA1632" i="26"/>
  <c r="AA153" i="26"/>
  <c r="AA3474" i="26"/>
  <c r="AA3249" i="26"/>
  <c r="AA2712" i="26"/>
  <c r="AA1130" i="26"/>
  <c r="AA1332" i="26"/>
  <c r="AA3018" i="26"/>
  <c r="AA273" i="26"/>
  <c r="AA980" i="26"/>
  <c r="AA415" i="26"/>
  <c r="AA419" i="26"/>
  <c r="AA2730" i="26"/>
  <c r="AA2042" i="26"/>
  <c r="AA3534" i="26"/>
  <c r="AA2198" i="26"/>
  <c r="AA33" i="26"/>
  <c r="AA231" i="26"/>
  <c r="AA2068" i="26"/>
  <c r="AA466" i="26"/>
  <c r="AA3144" i="26"/>
  <c r="AA2309" i="26"/>
  <c r="AA2063" i="26"/>
  <c r="AA3171" i="26"/>
  <c r="AA1559" i="26"/>
  <c r="AA3102" i="26"/>
  <c r="AA3187" i="26"/>
  <c r="AA2661" i="26"/>
  <c r="AA2474" i="26"/>
  <c r="AA3349" i="26"/>
  <c r="AA2814" i="26"/>
  <c r="AA1341" i="26"/>
  <c r="AA2346" i="26"/>
  <c r="AA2688" i="26"/>
  <c r="AA3059" i="26"/>
  <c r="AA2605" i="26"/>
  <c r="AA59" i="26"/>
  <c r="AA256" i="26"/>
  <c r="AA2930" i="26"/>
  <c r="AA2532" i="26"/>
  <c r="AA1998" i="26"/>
  <c r="AA2927" i="26"/>
  <c r="AA2386" i="26"/>
  <c r="AA1922" i="26"/>
  <c r="AA819" i="26"/>
  <c r="AA671" i="26"/>
  <c r="AA2380" i="26"/>
  <c r="AA3097" i="26"/>
  <c r="AA643" i="26"/>
  <c r="AA2254" i="26"/>
  <c r="AA85" i="26"/>
  <c r="AA1449" i="26"/>
  <c r="AA3339" i="26"/>
  <c r="AA1426" i="26"/>
  <c r="AA1677" i="26"/>
  <c r="AA1585" i="26"/>
  <c r="AA2988" i="26"/>
  <c r="AA1305" i="26"/>
  <c r="AA1603" i="26"/>
  <c r="AA2572" i="26"/>
  <c r="AA2737" i="26"/>
  <c r="AA193" i="26"/>
  <c r="AA2709" i="26"/>
  <c r="AA233" i="26"/>
  <c r="AA2024" i="26"/>
  <c r="AA133" i="26"/>
  <c r="AA1890" i="26"/>
  <c r="AA3279" i="26"/>
  <c r="AA3387" i="26"/>
  <c r="AA3155" i="26"/>
  <c r="AA542" i="26"/>
  <c r="AA1326" i="26"/>
  <c r="AA1161" i="26"/>
  <c r="AA506" i="26"/>
  <c r="AA438" i="26"/>
  <c r="AA3346" i="26"/>
  <c r="AA2920" i="26"/>
  <c r="AA3463" i="26"/>
  <c r="AA1872" i="26"/>
  <c r="AA395" i="26"/>
  <c r="AA1809" i="26"/>
  <c r="AA1311" i="26"/>
  <c r="AA1388" i="26"/>
  <c r="AA1248" i="26"/>
  <c r="AA1269" i="26"/>
  <c r="AA2503" i="26"/>
  <c r="AA1253" i="26"/>
  <c r="AA2742" i="26"/>
  <c r="AA3211" i="26"/>
  <c r="AA14" i="26"/>
  <c r="AA2221" i="26"/>
  <c r="AA3497" i="26"/>
  <c r="AA1266" i="26"/>
  <c r="AA71" i="26"/>
  <c r="AA2893" i="26"/>
  <c r="AA2311" i="26"/>
  <c r="AA2875" i="26"/>
  <c r="AA80" i="26"/>
  <c r="AA1601" i="26"/>
  <c r="AA2622" i="26"/>
  <c r="AA3246" i="26"/>
  <c r="AA865" i="26"/>
  <c r="AA1884" i="26"/>
  <c r="AA2486" i="26"/>
  <c r="AA3523" i="26"/>
  <c r="AA1153" i="26"/>
  <c r="AA13" i="26"/>
  <c r="AA3093" i="26"/>
  <c r="AA2489" i="26"/>
  <c r="AA1029" i="26"/>
  <c r="AA941" i="26"/>
  <c r="AA2534" i="26"/>
  <c r="AA1162" i="26"/>
  <c r="AA298" i="26"/>
  <c r="AA2788" i="26"/>
  <c r="AA2919" i="26"/>
  <c r="AA1896" i="26"/>
  <c r="AA1635" i="26"/>
  <c r="AA2617" i="26"/>
  <c r="AA609" i="26"/>
  <c r="AA975" i="26"/>
  <c r="AA1574" i="26"/>
  <c r="AA3013" i="26"/>
  <c r="AA642" i="26"/>
  <c r="AA3025" i="26"/>
  <c r="AA1546" i="26"/>
  <c r="AA1447" i="26"/>
  <c r="AA181" i="26"/>
  <c r="AA582" i="26"/>
  <c r="AA3475" i="26"/>
  <c r="AA2466" i="26"/>
  <c r="AA1493" i="26"/>
  <c r="AA2256" i="26"/>
  <c r="AA1927" i="26"/>
  <c r="AA1624" i="26"/>
  <c r="AA714" i="26"/>
  <c r="AA908" i="26"/>
  <c r="AA3393" i="26"/>
  <c r="AA1552" i="26"/>
  <c r="AA1987" i="26"/>
  <c r="AA1748" i="26"/>
  <c r="AA2439" i="26"/>
  <c r="AA1095" i="26"/>
  <c r="AA1324" i="26"/>
  <c r="AA1439" i="26"/>
  <c r="AA633" i="26"/>
  <c r="AA681" i="26"/>
  <c r="AA2419" i="26"/>
  <c r="AA1817" i="26"/>
  <c r="AA3275" i="26"/>
  <c r="AA1354" i="26"/>
  <c r="AA388" i="26"/>
  <c r="AA979" i="26"/>
  <c r="AA1777" i="26"/>
  <c r="AA2091" i="26"/>
  <c r="AA224" i="26"/>
  <c r="AA1441" i="26"/>
  <c r="AA3435" i="26"/>
  <c r="AA1907" i="26"/>
  <c r="AA34" i="26"/>
  <c r="AA521" i="26"/>
  <c r="AA905" i="26"/>
  <c r="AA2404" i="26"/>
  <c r="AA778" i="26"/>
  <c r="AA3132" i="26"/>
  <c r="AA1180" i="26"/>
  <c r="AA3380" i="26"/>
  <c r="AA2668" i="26"/>
  <c r="AA316" i="26"/>
  <c r="AA47" i="26"/>
  <c r="AA2366" i="26"/>
  <c r="AA2772" i="26"/>
  <c r="AA1682" i="26"/>
  <c r="AA2902" i="26"/>
  <c r="AA1101" i="26"/>
  <c r="AA2868" i="26"/>
  <c r="AA1695" i="26"/>
  <c r="AA1549" i="26"/>
  <c r="AA511" i="26"/>
  <c r="AA3088" i="26"/>
  <c r="AA2616" i="26"/>
  <c r="AA1092" i="26"/>
  <c r="AA3276" i="26"/>
  <c r="AA3377" i="26"/>
  <c r="AA2188" i="26"/>
  <c r="AA1860" i="26"/>
  <c r="AA312" i="26"/>
  <c r="AA635" i="26"/>
  <c r="AA708" i="26"/>
  <c r="AA3322" i="26"/>
  <c r="AA3051" i="26"/>
  <c r="AA3135" i="26"/>
  <c r="AA505" i="26"/>
  <c r="AA912" i="26"/>
  <c r="AA2719" i="26"/>
  <c r="AA1498" i="26"/>
  <c r="AA428" i="26"/>
  <c r="AA2303" i="26"/>
  <c r="AA546" i="26"/>
  <c r="AA3388" i="26"/>
  <c r="AA1616" i="26"/>
  <c r="AA876" i="26"/>
  <c r="AA39" i="26"/>
  <c r="AA3269" i="26"/>
  <c r="AA1423" i="26"/>
  <c r="AA725" i="26"/>
  <c r="AA1015" i="26"/>
  <c r="AA3451" i="26"/>
  <c r="AA1457" i="26"/>
  <c r="AA464" i="26"/>
  <c r="AA1486" i="26"/>
  <c r="AA3535" i="26"/>
  <c r="AA226" i="26"/>
  <c r="AA2715" i="26"/>
  <c r="AA1294" i="26"/>
  <c r="AA287" i="26"/>
  <c r="AA1472" i="26"/>
  <c r="AA3260" i="26"/>
  <c r="AA688" i="26"/>
  <c r="AA1789" i="26"/>
  <c r="AA1232" i="26"/>
  <c r="AA1385" i="26"/>
  <c r="AA3490" i="26"/>
  <c r="AA2426" i="26"/>
  <c r="AA937" i="26"/>
  <c r="AA228" i="26"/>
  <c r="AA1315" i="26"/>
  <c r="AA544" i="26"/>
  <c r="AA1031" i="26"/>
  <c r="AA3421" i="26"/>
  <c r="AA3408" i="26"/>
  <c r="AA2348" i="26"/>
  <c r="AA3266" i="26"/>
  <c r="AA1429" i="26"/>
  <c r="AA327" i="26"/>
  <c r="AA479" i="26"/>
  <c r="AA2832" i="26"/>
  <c r="AA3004" i="26"/>
  <c r="AA3164" i="26"/>
  <c r="AA502" i="26"/>
  <c r="AA3483" i="26"/>
  <c r="AA2655" i="26"/>
  <c r="AA393" i="26"/>
  <c r="AA657" i="26"/>
  <c r="AA656" i="26"/>
  <c r="AA773" i="26"/>
  <c r="AA2615" i="26"/>
  <c r="AA3330" i="26"/>
  <c r="AA841" i="26"/>
  <c r="AA2609" i="26"/>
  <c r="AA1855" i="26"/>
  <c r="AA2291" i="26"/>
  <c r="AA2798" i="26"/>
  <c r="AA939" i="26"/>
  <c r="AA969" i="26"/>
  <c r="AA1235" i="26"/>
  <c r="AA1700" i="26"/>
  <c r="AA2204" i="26"/>
  <c r="AA879" i="26"/>
  <c r="AA2613" i="26"/>
  <c r="AA1727" i="26"/>
  <c r="AA1022" i="26"/>
  <c r="AA220" i="26"/>
  <c r="AA545" i="26"/>
  <c r="AA2165" i="26"/>
  <c r="AA2101" i="26"/>
  <c r="AA3351" i="26"/>
  <c r="AA2531" i="26"/>
  <c r="AA2213" i="26"/>
  <c r="AA3532" i="26"/>
  <c r="AA248" i="26"/>
  <c r="AA2373" i="26"/>
  <c r="AA1578" i="26"/>
  <c r="AA1119" i="26"/>
  <c r="AA41" i="26"/>
  <c r="AA1303" i="26"/>
  <c r="AA469" i="26"/>
  <c r="AA2025" i="26"/>
  <c r="AA1642" i="26"/>
  <c r="AA1823" i="26"/>
  <c r="AA2606" i="26"/>
  <c r="AA3236" i="26"/>
  <c r="AA1234" i="26"/>
  <c r="AA1358" i="26"/>
  <c r="AA190" i="26"/>
  <c r="AA76" i="26"/>
  <c r="AA1516" i="26"/>
  <c r="AA2587" i="26"/>
  <c r="AA112" i="26"/>
  <c r="AA3517" i="26"/>
  <c r="AA739" i="26"/>
  <c r="AA2511" i="26"/>
  <c r="AA3495" i="26"/>
  <c r="AA3094" i="26"/>
  <c r="AA2533" i="26"/>
  <c r="AA2779" i="26"/>
  <c r="AA2750" i="26"/>
  <c r="AA1230" i="26"/>
  <c r="AA3012" i="26"/>
  <c r="AA1936" i="26"/>
  <c r="AA1755" i="26"/>
  <c r="AA2304" i="26"/>
  <c r="AA2210" i="26"/>
  <c r="AA807" i="26"/>
  <c r="AA1522" i="26"/>
  <c r="AA2257" i="26"/>
  <c r="AA3500" i="26"/>
  <c r="AA1133" i="26"/>
  <c r="AA1875" i="26"/>
  <c r="AA28" i="26"/>
  <c r="AA2087" i="26"/>
  <c r="AA1794" i="26"/>
  <c r="AA330" i="26"/>
  <c r="AA1008" i="26"/>
  <c r="AA754" i="26"/>
  <c r="AA985" i="26"/>
  <c r="AA2974" i="26"/>
  <c r="AA2522" i="26"/>
  <c r="AA1155" i="26"/>
  <c r="AA2370" i="26"/>
  <c r="AA2826" i="26"/>
  <c r="AA977" i="26"/>
  <c r="AA1741" i="26"/>
  <c r="AA2482" i="26"/>
  <c r="AA543" i="26"/>
  <c r="AA1856" i="26"/>
  <c r="AA338" i="26"/>
  <c r="AA3492" i="26"/>
  <c r="AA1933" i="26"/>
  <c r="AA1399" i="26"/>
  <c r="AA2504" i="26"/>
  <c r="AA351" i="26"/>
  <c r="AA285" i="26"/>
  <c r="AA2825" i="26"/>
  <c r="AA1518" i="26"/>
  <c r="AA640" i="26"/>
  <c r="AA743" i="26"/>
  <c r="AA123" i="26"/>
  <c r="AA1258" i="26"/>
  <c r="AA2413" i="26"/>
  <c r="AA1600" i="26"/>
  <c r="AA2705" i="26"/>
  <c r="AA1207" i="26"/>
  <c r="AA1009" i="26"/>
  <c r="AA1969" i="26"/>
  <c r="AA2387" i="26"/>
  <c r="AA771" i="26"/>
  <c r="AA627" i="26"/>
  <c r="AA529" i="26"/>
  <c r="AA1291" i="26"/>
  <c r="AA1973" i="26"/>
  <c r="AA810" i="26"/>
  <c r="AA1422" i="26"/>
  <c r="AA3008" i="26"/>
  <c r="AA859" i="26"/>
  <c r="AA3340" i="26"/>
  <c r="AA804" i="26"/>
  <c r="AA2604" i="26"/>
  <c r="AA1710" i="26"/>
  <c r="AA1901" i="26"/>
  <c r="AA3503" i="26"/>
  <c r="AA1651" i="26"/>
  <c r="AA3542" i="26"/>
  <c r="AA960" i="26"/>
  <c r="AA2000" i="26"/>
  <c r="AA407" i="26"/>
  <c r="AA489" i="26"/>
  <c r="AA3237" i="26"/>
  <c r="AA2476" i="26"/>
  <c r="AA2645" i="26"/>
  <c r="AA893" i="26"/>
  <c r="AA3452" i="26"/>
  <c r="AA896" i="26"/>
  <c r="AA1063" i="26"/>
  <c r="AA3304" i="26"/>
  <c r="AA2777" i="26"/>
  <c r="AA1626" i="26"/>
  <c r="AA453" i="26"/>
  <c r="AA2639" i="26"/>
  <c r="AA733" i="26"/>
  <c r="AA2110" i="26"/>
  <c r="AA3296" i="26"/>
  <c r="AA1157" i="26"/>
  <c r="AA1267" i="26"/>
  <c r="AA2354" i="26"/>
  <c r="AA1862" i="26"/>
  <c r="AA3053" i="26"/>
  <c r="AA2701" i="26"/>
  <c r="AA1333" i="26"/>
  <c r="AA1244" i="26"/>
  <c r="AA814" i="26"/>
  <c r="AA1395" i="26"/>
  <c r="AA436" i="26"/>
  <c r="AA929" i="26"/>
  <c r="AA2245" i="26"/>
  <c r="AA297" i="26"/>
  <c r="AA1189" i="26"/>
  <c r="AA1306" i="26"/>
  <c r="AA3239" i="26"/>
  <c r="AA1779" i="26"/>
  <c r="AA317" i="26"/>
  <c r="AA1033" i="26"/>
  <c r="AA2654" i="26"/>
  <c r="AA2944" i="26"/>
  <c r="AA1746" i="26"/>
  <c r="AA3440" i="26"/>
  <c r="AA2090" i="26"/>
  <c r="AA3480" i="26"/>
  <c r="AA2704" i="26"/>
  <c r="AA3182" i="26"/>
  <c r="AA1280" i="26"/>
  <c r="AA1392" i="26"/>
  <c r="AA1435" i="26"/>
  <c r="AA2821" i="26"/>
  <c r="AA372" i="26"/>
  <c r="AA2236" i="26"/>
  <c r="AA2181" i="26"/>
  <c r="AA1397" i="26"/>
  <c r="AA683" i="26"/>
  <c r="AA2733" i="26"/>
  <c r="AA2663" i="26"/>
  <c r="AA716" i="26"/>
  <c r="AA1558" i="26"/>
  <c r="AA2894" i="26"/>
  <c r="AA3168" i="26"/>
  <c r="AA2954" i="26"/>
  <c r="AA2432" i="26"/>
  <c r="AA606" i="26"/>
  <c r="AA2736" i="26"/>
  <c r="AA2344" i="26"/>
  <c r="AA1788" i="26"/>
  <c r="AA934" i="26"/>
  <c r="AA3541" i="26"/>
  <c r="AA676" i="26"/>
  <c r="AA682" i="26"/>
  <c r="AA2383" i="26"/>
  <c r="AA3228" i="26"/>
  <c r="AA1281" i="26"/>
  <c r="AA866" i="26"/>
  <c r="AA1694" i="26"/>
  <c r="AA1628" i="26"/>
  <c r="AA1735" i="26"/>
  <c r="AA634" i="26"/>
  <c r="AA2178" i="26"/>
  <c r="AA1344" i="26"/>
  <c r="AA1075" i="26"/>
  <c r="AA1737" i="26"/>
  <c r="AA3473" i="26"/>
  <c r="AA1968" i="26"/>
  <c r="AA2773" i="26"/>
  <c r="AA3516" i="26"/>
  <c r="AA337" i="26"/>
  <c r="AA23" i="26"/>
  <c r="AA964" i="26"/>
  <c r="AA24" i="26"/>
  <c r="AA2700" i="26"/>
  <c r="AA1434" i="26"/>
  <c r="AA2335" i="26"/>
  <c r="AA2300" i="26"/>
  <c r="AA1784" i="26"/>
  <c r="AA2399" i="26"/>
  <c r="AA3287" i="26"/>
  <c r="AA319" i="26"/>
  <c r="AA3415" i="26"/>
  <c r="AA1304" i="26"/>
  <c r="AA475" i="26"/>
  <c r="AA63" i="26"/>
  <c r="AA600" i="26"/>
  <c r="AA1112" i="26"/>
  <c r="AA1584" i="26"/>
  <c r="AA596" i="26"/>
  <c r="AA1791" i="26"/>
  <c r="AA665" i="26"/>
  <c r="AA1176" i="26"/>
  <c r="AA1061" i="26"/>
  <c r="AA77" i="26"/>
  <c r="AA3465" i="26"/>
  <c r="AA827" i="26"/>
  <c r="AA1754" i="26"/>
  <c r="AA1352" i="26"/>
  <c r="AA1736" i="26"/>
  <c r="AA672" i="26"/>
  <c r="AA3118" i="26"/>
  <c r="AA1871" i="26"/>
  <c r="AA645" i="26"/>
  <c r="AA3491" i="26"/>
  <c r="AA1314" i="26"/>
  <c r="AA931" i="26"/>
  <c r="AA1227" i="26"/>
  <c r="AA1970" i="26"/>
  <c r="AA3030" i="26"/>
  <c r="AA3096" i="26"/>
  <c r="AA418" i="26"/>
  <c r="AA3424" i="26"/>
  <c r="AA1906" i="26"/>
  <c r="AA2278" i="26"/>
  <c r="AA2880" i="26"/>
  <c r="AA3256" i="26"/>
  <c r="AA2884" i="26"/>
  <c r="AA440" i="26"/>
  <c r="AA210" i="26"/>
  <c r="AA3467" i="26"/>
  <c r="AA548" i="26"/>
  <c r="AA793" i="26"/>
  <c r="AA531" i="26"/>
  <c r="AA1221" i="26"/>
  <c r="AA1858" i="26"/>
  <c r="AA1512" i="26"/>
  <c r="AA84" i="26"/>
  <c r="AA3191" i="26"/>
  <c r="AA641" i="26"/>
  <c r="AA3536" i="26"/>
  <c r="AA2983" i="26"/>
  <c r="AA1826" i="26"/>
  <c r="AA264" i="26"/>
  <c r="AA2308" i="26"/>
  <c r="AA2232" i="26"/>
  <c r="AA2158" i="26"/>
  <c r="AA1880" i="26"/>
  <c r="AA1808" i="26"/>
  <c r="AA3378" i="26"/>
  <c r="AA1169" i="26"/>
  <c r="AA3464" i="26"/>
  <c r="AA2013" i="26"/>
  <c r="AA2577" i="26"/>
  <c r="AA2264" i="26"/>
  <c r="AA3048" i="26"/>
  <c r="AA62" i="26"/>
  <c r="AA832" i="26"/>
  <c r="AA3225" i="26"/>
  <c r="AA113" i="26"/>
  <c r="AA3398" i="26"/>
  <c r="AA2345" i="26"/>
  <c r="AA3091" i="26"/>
  <c r="AA3273" i="26"/>
  <c r="AA1686" i="26"/>
  <c r="AA611" i="26"/>
  <c r="AA947" i="26"/>
  <c r="AA2580" i="26"/>
  <c r="AA1679" i="26"/>
  <c r="AA2084" i="26"/>
  <c r="AA1328" i="26"/>
  <c r="AA1218" i="26"/>
  <c r="AA525" i="26"/>
  <c r="AA1107" i="26"/>
  <c r="AA1564" i="26"/>
  <c r="AA2096" i="26"/>
  <c r="AA1657" i="26"/>
  <c r="AA1659" i="26"/>
  <c r="AA3227" i="26"/>
  <c r="AA2239" i="26"/>
  <c r="AA498" i="26"/>
  <c r="AA1887" i="26"/>
  <c r="AA2086" i="26"/>
  <c r="AA2460" i="26"/>
  <c r="AA94" i="26"/>
  <c r="AA654" i="26"/>
  <c r="AA2993" i="26"/>
  <c r="AA2546" i="26"/>
  <c r="AA2007" i="26"/>
  <c r="AA2695" i="26"/>
  <c r="AA1548" i="26"/>
  <c r="AA904" i="26"/>
  <c r="AA3437" i="26"/>
  <c r="AA809" i="26"/>
  <c r="AA551" i="26"/>
  <c r="AA1338" i="26"/>
  <c r="AA3457" i="26"/>
  <c r="AA3335" i="26"/>
  <c r="AA3544" i="26"/>
  <c r="AA1264" i="26"/>
  <c r="AA1723" i="26"/>
  <c r="AA1187" i="26"/>
  <c r="AA3416" i="26"/>
  <c r="AA3040" i="26"/>
  <c r="AA2947" i="26"/>
  <c r="AA412" i="26"/>
  <c r="AA408" i="26"/>
  <c r="AA3077" i="26"/>
  <c r="AA530" i="26"/>
  <c r="AA614" i="26"/>
  <c r="AA2115" i="26"/>
  <c r="AA895" i="26"/>
  <c r="AA2673" i="26"/>
  <c r="AA2444" i="26"/>
  <c r="AA2347" i="26"/>
  <c r="AA1836" i="26"/>
  <c r="AA1368" i="26"/>
  <c r="AA952" i="26"/>
  <c r="AA2163" i="26"/>
  <c r="AA322" i="26"/>
  <c r="AA2703" i="26"/>
  <c r="AA267" i="26"/>
  <c r="AA3036" i="26"/>
  <c r="AA1484" i="26"/>
  <c r="AA612" i="26"/>
  <c r="AA2966" i="26"/>
  <c r="AA2080" i="26"/>
  <c r="AA2559" i="26"/>
  <c r="AA116" i="26"/>
  <c r="AA239" i="26"/>
  <c r="AA976" i="26"/>
  <c r="AA3184" i="26"/>
  <c r="AA2664" i="26"/>
  <c r="AA378" i="26"/>
  <c r="AA916" i="26"/>
  <c r="AA638" i="26"/>
  <c r="AA2514" i="26"/>
  <c r="AA820" i="26"/>
  <c r="AA1926" i="26"/>
  <c r="AA535" i="26"/>
  <c r="AA2143" i="26"/>
  <c r="AA1124" i="26"/>
  <c r="AA1958" i="26"/>
  <c r="AA1648" i="26"/>
  <c r="AA1036" i="26"/>
  <c r="AA1236" i="26"/>
  <c r="AA157" i="26"/>
  <c r="AA3460" i="26"/>
  <c r="AA11" i="26"/>
  <c r="AA3220" i="26"/>
  <c r="AA2378" i="26"/>
  <c r="AA897" i="26"/>
  <c r="AA790" i="26"/>
  <c r="AA2148" i="26"/>
  <c r="AA270" i="26"/>
  <c r="AA257" i="26"/>
  <c r="AA2542" i="26"/>
  <c r="AA3199" i="26"/>
  <c r="AA1350" i="26"/>
  <c r="AA3458" i="26"/>
  <c r="AA536" i="26"/>
  <c r="AA204" i="26"/>
  <c r="AA225" i="26"/>
  <c r="AA1689" i="26"/>
  <c r="AA2105" i="26"/>
  <c r="AA262" i="26"/>
  <c r="AA2259" i="26"/>
  <c r="AA1765" i="26"/>
  <c r="AA971" i="26"/>
  <c r="AA3410" i="26"/>
  <c r="AA3161" i="26"/>
  <c r="AA2160" i="26"/>
  <c r="AA2833" i="26"/>
  <c r="AA375" i="26"/>
  <c r="AA2197" i="26"/>
  <c r="AA1718" i="26"/>
  <c r="AA2633" i="26"/>
  <c r="AA787" i="26"/>
  <c r="AA991" i="26"/>
  <c r="AA2977" i="26"/>
  <c r="AA1843" i="26"/>
  <c r="AA2098" i="26"/>
  <c r="AA1908" i="26"/>
  <c r="AA1290" i="26"/>
  <c r="AA1452" i="26"/>
  <c r="AA3234" i="26"/>
  <c r="AA3134" i="26"/>
  <c r="AA1511" i="26"/>
  <c r="AA2006" i="26"/>
  <c r="AA2981" i="26"/>
  <c r="AA229" i="26"/>
  <c r="AA2743" i="26"/>
  <c r="AA1881" i="26"/>
  <c r="AA3538" i="26"/>
  <c r="AA1298" i="26"/>
  <c r="AA2381" i="26"/>
  <c r="AA1473" i="26"/>
  <c r="AA3501" i="26"/>
  <c r="AA3219" i="26"/>
  <c r="AA1489" i="26"/>
  <c r="AA2390" i="26"/>
  <c r="AA1801" i="26"/>
  <c r="AA1331" i="26"/>
  <c r="AA1508" i="26"/>
  <c r="AA1210" i="26"/>
  <c r="AA1171" i="26"/>
  <c r="AA3405" i="26"/>
  <c r="AA1928" i="26"/>
  <c r="AA514" i="26"/>
  <c r="AA986" i="26"/>
  <c r="AA1216" i="26"/>
  <c r="AA1242" i="26"/>
  <c r="AA3050" i="26"/>
  <c r="AA201" i="26"/>
  <c r="AA288" i="26"/>
  <c r="AA1722" i="26"/>
  <c r="AA385" i="26"/>
  <c r="AA1636" i="26"/>
  <c r="AA1390" i="26"/>
  <c r="AA1739" i="26"/>
  <c r="AA17" i="26"/>
  <c r="AA2323" i="26"/>
  <c r="AA1639" i="26"/>
  <c r="AA2554" i="26"/>
  <c r="AA2471" i="26"/>
  <c r="AA1886" i="26"/>
  <c r="AA1265" i="26"/>
  <c r="AA3395" i="26"/>
  <c r="AA2180" i="26"/>
  <c r="AA1610" i="26"/>
  <c r="AA1831" i="26"/>
  <c r="AA1198" i="26"/>
  <c r="AA2342" i="26"/>
  <c r="AA3323" i="26"/>
  <c r="AA2536" i="26"/>
  <c r="AA2731" i="26"/>
  <c r="AA3309" i="26"/>
  <c r="AA2517" i="26"/>
  <c r="AA1233" i="26"/>
  <c r="AA3417" i="26"/>
  <c r="AA2946" i="26"/>
  <c r="AA3078" i="26"/>
  <c r="AA69" i="26"/>
  <c r="AA3413" i="26"/>
  <c r="AA2515" i="26"/>
  <c r="AA2075" i="26"/>
  <c r="AA2299" i="26"/>
  <c r="AA2465" i="26"/>
  <c r="AA731" i="26"/>
  <c r="AA307" i="26"/>
  <c r="AA2004" i="26"/>
  <c r="AA1766" i="26"/>
  <c r="AA518" i="26"/>
  <c r="AA344" i="26"/>
  <c r="AA2491" i="26"/>
  <c r="AA925" i="26"/>
  <c r="AA570" i="26"/>
  <c r="AA2940" i="26"/>
  <c r="AA2662" i="26"/>
  <c r="AA1507" i="26"/>
  <c r="AA2769" i="26"/>
  <c r="AA1135" i="26"/>
  <c r="AA2635" i="26"/>
  <c r="AA3020" i="26"/>
  <c r="AA2393" i="26"/>
  <c r="AA1105" i="26"/>
  <c r="AA911" i="26"/>
  <c r="AA2717" i="26"/>
  <c r="AA2424" i="26"/>
  <c r="AA2959" i="26"/>
  <c r="AA2598" i="26"/>
  <c r="AA666" i="26"/>
  <c r="AA1137" i="26"/>
  <c r="AA608" i="26"/>
  <c r="AA470" i="26"/>
  <c r="AA18" i="26"/>
  <c r="AA2400" i="26"/>
  <c r="AA1466" i="26"/>
  <c r="AA198" i="26"/>
  <c r="AA3085" i="26"/>
  <c r="AA2649" i="26"/>
  <c r="AA2585" i="26"/>
  <c r="AA1111" i="26"/>
  <c r="AA2147" i="26"/>
  <c r="AA29" i="26"/>
  <c r="AA1276" i="26"/>
  <c r="AA1152" i="26"/>
  <c r="AA1299" i="26"/>
  <c r="AA2686" i="26"/>
  <c r="AA2401" i="26"/>
  <c r="AA3231" i="26"/>
  <c r="AA1468" i="26"/>
  <c r="AA2339" i="26"/>
  <c r="AA2112" i="26"/>
  <c r="AA1120" i="26"/>
  <c r="AA2758" i="26"/>
  <c r="AA3016" i="26"/>
  <c r="AA1633" i="26"/>
  <c r="AA1261" i="26"/>
  <c r="AA3515" i="26"/>
  <c r="AA970" i="26"/>
  <c r="AA756" i="26"/>
  <c r="AA146" i="26"/>
  <c r="AA1366" i="26"/>
  <c r="AA557" i="26"/>
  <c r="AA3092" i="26"/>
  <c r="AA1864" i="26"/>
  <c r="AA1713" i="26"/>
  <c r="AA766" i="26"/>
  <c r="AA2193" i="26"/>
  <c r="AA1347" i="26"/>
  <c r="AA483" i="26"/>
  <c r="AA2561" i="26"/>
  <c r="AA1106" i="26"/>
  <c r="AA2045" i="26"/>
  <c r="AA653" i="26"/>
  <c r="AA3449" i="26"/>
  <c r="AA1769" i="26"/>
  <c r="AA2480" i="26"/>
  <c r="AA2238" i="26"/>
  <c r="AA1583" i="26"/>
  <c r="AA1874" i="26"/>
  <c r="AA2601" i="26"/>
  <c r="AA2926" i="26"/>
  <c r="AA1420" i="26"/>
  <c r="AA3489" i="26"/>
  <c r="AA1237" i="26"/>
  <c r="AA617" i="26"/>
  <c r="AA1197" i="26"/>
  <c r="AA339" i="26"/>
  <c r="AA1894" i="26"/>
  <c r="AA165" i="26"/>
  <c r="AA396" i="26"/>
  <c r="AA1725" i="26"/>
  <c r="AA3297" i="26"/>
  <c r="AA2570" i="26"/>
  <c r="AA2113" i="26"/>
  <c r="AA1664" i="26"/>
  <c r="AA64" i="26"/>
  <c r="AA1565" i="26"/>
  <c r="AA141" i="26"/>
  <c r="AA1841" i="26"/>
  <c r="AA3444" i="26"/>
  <c r="AA3300" i="26"/>
  <c r="AA1096" i="26"/>
  <c r="AA2286" i="26"/>
  <c r="AA2133" i="26"/>
  <c r="AA2991" i="26"/>
  <c r="AA523" i="26"/>
  <c r="AA1202" i="26"/>
  <c r="AA154" i="26"/>
  <c r="AA1955" i="26"/>
  <c r="AA447" i="26"/>
  <c r="AA3038" i="26"/>
  <c r="AA3397" i="26"/>
  <c r="AA524" i="26"/>
  <c r="AA2170" i="26"/>
  <c r="AA924" i="26"/>
  <c r="AA1587" i="26"/>
  <c r="AA3216" i="26"/>
  <c r="AA3485" i="26"/>
  <c r="AA823" i="26"/>
  <c r="AA1772" i="26"/>
  <c r="AA2127" i="26"/>
  <c r="AA1446" i="26"/>
  <c r="AA2799" i="26"/>
  <c r="AA3209" i="26"/>
  <c r="AA815" i="26"/>
  <c r="AA21" i="26"/>
  <c r="AA2857" i="26"/>
  <c r="AA1455" i="26"/>
  <c r="AA2885" i="26"/>
  <c r="AA93" i="26"/>
  <c r="AA1246" i="26"/>
  <c r="AA2468" i="26"/>
  <c r="AA2230" i="26"/>
  <c r="AA2442" i="26"/>
  <c r="AA1014" i="26"/>
  <c r="AA454" i="26"/>
  <c r="AA1850" i="26"/>
  <c r="AA3347" i="26"/>
  <c r="AA1733" i="26"/>
  <c r="AA1745" i="26"/>
  <c r="AA509" i="26"/>
  <c r="AA2015" i="26"/>
  <c r="AA3336" i="26"/>
  <c r="AA2310" i="26"/>
  <c r="AA972" i="26"/>
  <c r="AA2809" i="26"/>
  <c r="AA2897" i="26"/>
  <c r="AA2102" i="26"/>
  <c r="AA700" i="26"/>
  <c r="AA100" i="26"/>
  <c r="AA2872" i="26"/>
  <c r="AA1762" i="26"/>
  <c r="AA2167" i="26"/>
  <c r="AA1952" i="26"/>
  <c r="AA3127" i="26"/>
  <c r="AA2443" i="26"/>
  <c r="AA2365" i="26"/>
  <c r="AA2368" i="26"/>
  <c r="AA414" i="26"/>
  <c r="AA2843" i="26"/>
  <c r="AA798" i="26"/>
  <c r="AA3409" i="26"/>
  <c r="AA575" i="26"/>
  <c r="AA595" i="26"/>
  <c r="AA1634" i="26"/>
  <c r="AA1138" i="26"/>
  <c r="AA2824" i="26"/>
  <c r="AA1275" i="26"/>
  <c r="AA3069" i="26"/>
  <c r="AA2313" i="26"/>
  <c r="AA2592" i="26"/>
  <c r="AA1776" i="26"/>
  <c r="AA2467" i="26"/>
  <c r="AA1627" i="26"/>
  <c r="AA724" i="26"/>
  <c r="AA2603" i="26"/>
  <c r="AA917" i="26"/>
  <c r="AA2182" i="26"/>
  <c r="AA1514" i="26"/>
  <c r="AA2999" i="26"/>
  <c r="AA735" i="26"/>
  <c r="AA2058" i="26"/>
  <c r="AA2021" i="26"/>
  <c r="AA409" i="26"/>
  <c r="AA945" i="26"/>
  <c r="AA2648" i="26"/>
  <c r="AA1156" i="26"/>
  <c r="AA2805" i="26"/>
  <c r="AA1852" i="26"/>
  <c r="AA445" i="26"/>
  <c r="AA1604" i="26"/>
  <c r="AA2054" i="26"/>
  <c r="AA2262" i="26"/>
  <c r="AA1716" i="26"/>
  <c r="AA576" i="26"/>
  <c r="AA1035" i="26"/>
  <c r="AA3426" i="26"/>
  <c r="AA3033" i="26"/>
  <c r="AA1247" i="26"/>
  <c r="AA3521" i="26"/>
  <c r="AA825" i="26"/>
  <c r="AA2667" i="26"/>
  <c r="AA1238" i="26"/>
  <c r="AA2916" i="26"/>
  <c r="AA3105" i="26"/>
  <c r="AA694" i="26"/>
  <c r="AA2050" i="26"/>
  <c r="AA1842" i="26"/>
  <c r="AA3329" i="26"/>
  <c r="AA2525" i="26"/>
  <c r="AA3019" i="26"/>
  <c r="AA138" i="26"/>
  <c r="AA2416" i="26"/>
  <c r="AA292" i="26"/>
  <c r="AA907" i="26"/>
  <c r="AA1792" i="26"/>
  <c r="AA2774" i="26"/>
  <c r="AA1753" i="26"/>
  <c r="AA484" i="26"/>
  <c r="AA629" i="26"/>
  <c r="AA3361" i="26"/>
  <c r="AA2674" i="26"/>
  <c r="AA3257" i="26"/>
  <c r="AA555" i="26"/>
  <c r="AA1671" i="26"/>
  <c r="AA2670" i="26"/>
  <c r="AA178" i="26"/>
  <c r="AA3436" i="26"/>
  <c r="AA1188" i="26"/>
  <c r="AA592" i="26"/>
  <c r="AA2375" i="26"/>
  <c r="AA2527" i="26"/>
  <c r="AA2417" i="26"/>
  <c r="AA1717" i="26"/>
  <c r="AA3285" i="26"/>
  <c r="AA2906" i="26"/>
  <c r="AA2837" i="26"/>
  <c r="AA1052" i="26"/>
  <c r="AA2211" i="26"/>
  <c r="AA1595" i="26"/>
  <c r="AA3055" i="26"/>
  <c r="AA2371" i="26"/>
  <c r="AA1913" i="26"/>
  <c r="AA1764" i="26"/>
  <c r="AA430" i="26"/>
  <c r="AA491" i="26"/>
  <c r="AA249" i="26"/>
  <c r="AA3331" i="26"/>
  <c r="AA854" i="26"/>
  <c r="AA43" i="26"/>
  <c r="AA2992" i="26"/>
  <c r="AA3407" i="26"/>
  <c r="AA3507" i="26"/>
  <c r="AA3101" i="26"/>
  <c r="AA2059" i="26"/>
  <c r="AA1373" i="26"/>
  <c r="AA323" i="26"/>
  <c r="AA587" i="26"/>
  <c r="AA3337" i="26"/>
  <c r="AA2835" i="26"/>
  <c r="AA2407" i="26"/>
  <c r="AA3438" i="26"/>
  <c r="AA1006" i="26"/>
  <c r="AA2727" i="26"/>
  <c r="AA1337" i="26"/>
  <c r="AA2385" i="26"/>
  <c r="AA3526" i="26"/>
  <c r="AA1819" i="26"/>
  <c r="AA357" i="26"/>
  <c r="AA508" i="26"/>
  <c r="AA3439" i="26"/>
  <c r="AA209" i="26"/>
  <c r="AA757" i="26"/>
  <c r="AA3170" i="26"/>
  <c r="AA3371" i="26"/>
  <c r="AA1145" i="26"/>
  <c r="AA223" i="26"/>
  <c r="AA2985" i="26"/>
  <c r="AA16" i="26"/>
  <c r="AA2220" i="26"/>
  <c r="AA1213" i="26"/>
  <c r="AA482" i="26"/>
  <c r="AA2753" i="26"/>
  <c r="AA331" i="26"/>
  <c r="AA3510" i="26"/>
  <c r="AA2173" i="26"/>
  <c r="AA3104" i="26"/>
  <c r="AA1071" i="26"/>
  <c r="AA284" i="26"/>
  <c r="AA2989" i="26"/>
  <c r="AA783" i="26"/>
  <c r="AA2524" i="26"/>
  <c r="AA3084" i="26"/>
  <c r="AA2241" i="26"/>
  <c r="AA2040" i="26"/>
  <c r="AA2394" i="26"/>
  <c r="AA993" i="26"/>
  <c r="AA1150" i="26"/>
  <c r="AA2038" i="26"/>
  <c r="AA3472" i="26"/>
  <c r="AA332" i="26"/>
  <c r="AA2744" i="26"/>
  <c r="AA136" i="26"/>
  <c r="AA2708" i="26"/>
  <c r="AA719" i="26"/>
  <c r="AA1302" i="26"/>
  <c r="AA1374" i="26"/>
  <c r="AA3005" i="26"/>
  <c r="AA474" i="26"/>
  <c r="AA1078" i="26"/>
  <c r="AA1964" i="26"/>
  <c r="AA1519" i="26"/>
  <c r="AA111" i="26"/>
  <c r="AA286" i="26"/>
  <c r="AA433" i="26"/>
  <c r="AA1057" i="26"/>
  <c r="AA3328" i="26"/>
  <c r="AA3292" i="26"/>
  <c r="AA1655" i="26"/>
  <c r="AA2271" i="26"/>
  <c r="AA265" i="26"/>
  <c r="AA983" i="26"/>
  <c r="AA3032" i="26"/>
  <c r="AA1586" i="26"/>
  <c r="AA2630" i="26"/>
  <c r="AA2446" i="26"/>
  <c r="AA1128" i="26"/>
  <c r="AA1348" i="26"/>
  <c r="AA1239" i="26"/>
  <c r="AA310" i="26"/>
  <c r="AA556" i="26"/>
  <c r="AA1567" i="26"/>
  <c r="AA3087" i="26"/>
  <c r="AA1151" i="26"/>
  <c r="AA2728" i="26"/>
  <c r="AA3083" i="26"/>
  <c r="AA3468" i="26"/>
  <c r="AA185" i="26"/>
  <c r="AA571" i="26"/>
  <c r="AA1070" i="26"/>
  <c r="AA822" i="26"/>
  <c r="AA2657" i="26"/>
  <c r="AA2051" i="26"/>
  <c r="AA3181" i="26"/>
  <c r="AA3363" i="26"/>
  <c r="AA1058" i="26"/>
  <c r="AA1012" i="26"/>
  <c r="AA57" i="26"/>
  <c r="AA1365" i="26"/>
  <c r="AA1053" i="26"/>
  <c r="AA3345" i="26"/>
  <c r="AA1164" i="26"/>
  <c r="AA1467" i="26"/>
  <c r="AA718" i="26"/>
  <c r="AA1945" i="26"/>
  <c r="AA2129" i="26"/>
  <c r="AA1126" i="26"/>
  <c r="AA3121" i="26"/>
  <c r="AA2043" i="26"/>
  <c r="AA1144" i="26"/>
  <c r="AA2028" i="26"/>
  <c r="AA1405" i="26"/>
  <c r="AA2636" i="26"/>
  <c r="AA2828" i="26"/>
  <c r="AA2931" i="26"/>
  <c r="AA3062" i="26"/>
  <c r="AA3264" i="26"/>
  <c r="AA2018" i="26"/>
  <c r="AA1032" i="26"/>
  <c r="AA3514" i="26"/>
  <c r="AA2329" i="26"/>
  <c r="AA1991" i="26"/>
  <c r="AA1709" i="26"/>
  <c r="AA3130" i="26"/>
  <c r="AA1442" i="26"/>
  <c r="AA2745" i="26"/>
  <c r="AA1212" i="26"/>
  <c r="AA354" i="26"/>
  <c r="AA3241" i="26"/>
  <c r="AA2289" i="26"/>
  <c r="AA2379" i="26"/>
  <c r="AA1045" i="26"/>
  <c r="AA2846" i="26"/>
  <c r="AA995" i="26"/>
  <c r="AA278" i="26"/>
  <c r="AA862" i="26"/>
  <c r="AA2427" i="26"/>
  <c r="AA124" i="26"/>
  <c r="AA2151" i="26"/>
  <c r="AA512" i="26"/>
  <c r="AA1783" i="26"/>
  <c r="AA411" i="26"/>
  <c r="AA443" i="26"/>
  <c r="AA1194" i="26"/>
  <c r="AA2565" i="26"/>
  <c r="AA381" i="26"/>
  <c r="AA1889" i="26"/>
  <c r="AA2738" i="26"/>
  <c r="AA1994" i="26"/>
  <c r="AA891" i="26"/>
  <c r="AA3537" i="26"/>
  <c r="AA217" i="26"/>
  <c r="AA1854" i="26"/>
  <c r="AA294" i="26"/>
  <c r="AA2195" i="26"/>
  <c r="AA2917" i="26"/>
  <c r="AA2589" i="26"/>
  <c r="AA3454" i="26"/>
  <c r="AA2175" i="26"/>
  <c r="AA3272" i="26"/>
  <c r="AA1895" i="26"/>
  <c r="AA2521" i="26"/>
  <c r="AA588" i="26"/>
  <c r="AA2324" i="26"/>
  <c r="AA909" i="26"/>
  <c r="AA3109" i="26"/>
  <c r="AA46" i="26"/>
  <c r="AA2646" i="26"/>
  <c r="AA1100" i="26"/>
  <c r="AA2409" i="26"/>
  <c r="AA391" i="26"/>
  <c r="AA1295" i="26"/>
  <c r="AA2104" i="26"/>
  <c r="AA2171" i="26"/>
  <c r="AA2602" i="26"/>
  <c r="AA914" i="26"/>
  <c r="AA1028" i="26"/>
  <c r="AA922" i="26"/>
  <c r="AA504" i="26"/>
  <c r="AA120" i="26"/>
  <c r="AA3306" i="26"/>
  <c r="AA1402" i="26"/>
  <c r="AA2208" i="26"/>
  <c r="AA1140" i="26"/>
  <c r="AA3212" i="26"/>
  <c r="AA2964" i="26"/>
  <c r="AA3281" i="26"/>
  <c r="AA2067" i="26"/>
  <c r="AA1475" i="26"/>
  <c r="AA1485" i="26"/>
  <c r="AA1785" i="26"/>
  <c r="AA1536" i="26"/>
  <c r="AA2243" i="26"/>
  <c r="AA1277" i="26"/>
  <c r="AA1744" i="26"/>
  <c r="AA2739" i="26"/>
  <c r="AA2402" i="26"/>
  <c r="AA2757" i="26"/>
  <c r="AA1669" i="26"/>
  <c r="AA1443" i="26"/>
  <c r="AA1064" i="26"/>
  <c r="AA1450" i="26"/>
  <c r="AA637" i="26"/>
  <c r="AA1203" i="26"/>
  <c r="AA2414" i="26"/>
  <c r="AA707" i="26"/>
  <c r="AA2997" i="26"/>
  <c r="AA2094" i="26"/>
  <c r="AA1401" i="26"/>
  <c r="AA2225" i="26"/>
  <c r="AA1530" i="26"/>
  <c r="AA1956" i="26"/>
  <c r="AA2428" i="26"/>
  <c r="AA2237" i="26"/>
  <c r="AA1044" i="26"/>
  <c r="AA432" i="26"/>
  <c r="AA3477" i="26"/>
  <c r="AA1988" i="26"/>
  <c r="AA2297" i="26"/>
  <c r="AA2294" i="26"/>
  <c r="AA982" i="26"/>
  <c r="AA3431" i="26"/>
  <c r="AA426" i="26"/>
  <c r="AA1948" i="26"/>
  <c r="AA2724" i="26"/>
  <c r="AA75" i="26"/>
  <c r="AA772" i="26"/>
  <c r="AA258" i="26"/>
  <c r="AA2785" i="26"/>
  <c r="AA2803" i="26"/>
  <c r="AA2538" i="26"/>
  <c r="AA1914" i="26"/>
  <c r="AA988" i="26"/>
  <c r="AA3394" i="26"/>
  <c r="AA561" i="26"/>
  <c r="AA1224" i="26"/>
  <c r="AA1560" i="26"/>
  <c r="AA935" i="26"/>
  <c r="AA957" i="26"/>
  <c r="AA3072" i="26"/>
  <c r="AA3476" i="26"/>
  <c r="AA461" i="26"/>
  <c r="AA2002" i="26"/>
  <c r="AA1774" i="26"/>
  <c r="AA314" i="26"/>
  <c r="AA3524" i="26"/>
  <c r="AA3448" i="26"/>
  <c r="AA1877" i="26"/>
  <c r="AA2972" i="26"/>
  <c r="AA2149" i="26"/>
  <c r="AA3009" i="26"/>
  <c r="AA2215" i="26"/>
  <c r="AA2331" i="26"/>
  <c r="AA2123" i="26"/>
  <c r="AA45" i="26"/>
  <c r="AA3157" i="26"/>
  <c r="AA742" i="26"/>
  <c r="AA3011" i="26"/>
  <c r="AA740" i="26"/>
  <c r="AA1844" i="26"/>
  <c r="AA849" i="26"/>
  <c r="AA785" i="26"/>
  <c r="AA619" i="26"/>
  <c r="AA2576" i="26"/>
  <c r="AA840" i="26"/>
  <c r="AA2284" i="26"/>
  <c r="AA31" i="26"/>
  <c r="AA3204" i="26"/>
  <c r="AA1206" i="26"/>
  <c r="AA98" i="26"/>
  <c r="AA194" i="26"/>
  <c r="AA1939" i="26"/>
  <c r="AA105" i="26"/>
  <c r="AA1974" i="26"/>
  <c r="AA3037" i="26"/>
  <c r="AA550" i="26"/>
  <c r="AA451" i="26"/>
  <c r="AA966" i="26"/>
  <c r="AA2789" i="26"/>
  <c r="AA3481" i="26"/>
  <c r="AA3499" i="26"/>
  <c r="AA2520" i="26"/>
  <c r="AA2458" i="26"/>
  <c r="AA1650" i="26"/>
  <c r="AA856" i="26"/>
  <c r="AA3469" i="26"/>
  <c r="AA457" i="26"/>
  <c r="AA1046" i="26"/>
  <c r="AA730" i="26"/>
  <c r="AA932" i="26"/>
  <c r="AA1335" i="26"/>
  <c r="AA1098" i="26"/>
  <c r="AA2865" i="26"/>
  <c r="AA362" i="26"/>
  <c r="AA2854" i="26"/>
  <c r="AA2111" i="26"/>
  <c r="AA196" i="26"/>
  <c r="AA2483" i="26"/>
  <c r="AA121" i="26"/>
  <c r="AA910" i="26"/>
  <c r="AA2397" i="26"/>
  <c r="AA3229" i="26"/>
  <c r="AA1011" i="26"/>
  <c r="AA1021" i="26"/>
  <c r="AA3498" i="26"/>
  <c r="AA1912" i="26"/>
  <c r="AA340" i="26"/>
  <c r="AA2114" i="26"/>
  <c r="AA2034" i="26"/>
  <c r="AA3183" i="26"/>
  <c r="AA1807" i="26"/>
  <c r="AA2933" i="26"/>
  <c r="AA2852" i="26"/>
  <c r="AA1916" i="26"/>
  <c r="AA1540" i="26"/>
  <c r="AA3054" i="26"/>
  <c r="AA1487" i="26"/>
  <c r="AA421" i="26"/>
  <c r="AA37" i="26"/>
  <c r="AA1143" i="26"/>
  <c r="AA2535" i="26"/>
  <c r="AA794" i="26"/>
  <c r="AA610" i="26"/>
  <c r="AA1480" i="26"/>
  <c r="AA3224" i="26"/>
  <c r="AA236" i="26"/>
  <c r="AA2892" i="26"/>
  <c r="AA2950" i="26"/>
  <c r="AA1535" i="26"/>
  <c r="AA948" i="26"/>
  <c r="AA3267" i="26"/>
  <c r="AA1389" i="26"/>
  <c r="AA2242" i="26"/>
  <c r="AA1065" i="26"/>
  <c r="AA125" i="26"/>
  <c r="AA2553" i="26"/>
  <c r="AA3253" i="26"/>
  <c r="AA260" i="26"/>
  <c r="AA946" i="26"/>
  <c r="AA2691" i="26"/>
  <c r="AA1869" i="26"/>
  <c r="AA3390" i="26"/>
  <c r="AA2734" i="26"/>
  <c r="AA1654" i="26"/>
  <c r="AA2529" i="26"/>
  <c r="AA250" i="26"/>
  <c r="AA978" i="26"/>
  <c r="AA3298" i="26"/>
  <c r="AA845" i="26"/>
  <c r="AA658" i="26"/>
  <c r="AA1971" i="26"/>
  <c r="AA1534" i="26"/>
  <c r="AA764" i="26"/>
  <c r="AA2070" i="26"/>
  <c r="AA1231" i="26"/>
  <c r="AA1505" i="26"/>
  <c r="AA2583" i="26"/>
  <c r="AA3060" i="26"/>
  <c r="AA913" i="26"/>
  <c r="AA1579" i="26"/>
  <c r="AA3389" i="26"/>
  <c r="AA36" i="26"/>
  <c r="AA61" i="26"/>
  <c r="AA172" i="26"/>
  <c r="AA2506" i="26"/>
  <c r="AA315" i="26"/>
  <c r="AA1857" i="26"/>
  <c r="AA1980" i="26"/>
  <c r="AA709" i="26"/>
  <c r="AA3169" i="26"/>
  <c r="AA2994" i="26"/>
  <c r="AA1409" i="26"/>
  <c r="AA363" i="26"/>
  <c r="AA1318" i="26"/>
  <c r="AA2911" i="26"/>
  <c r="AA3057" i="26"/>
  <c r="AA2369" i="26"/>
  <c r="AA3299" i="26"/>
  <c r="AA2643" i="26"/>
  <c r="AA2995" i="26"/>
  <c r="AA3384" i="26"/>
  <c r="AA2721" i="26"/>
  <c r="AA1182" i="26"/>
  <c r="AA1093" i="26"/>
  <c r="AA2106" i="26"/>
  <c r="AA603" i="26"/>
  <c r="AA2845" i="26"/>
  <c r="AA427" i="26"/>
  <c r="AA1141" i="26"/>
  <c r="AA1743" i="26"/>
  <c r="AA335" i="26"/>
  <c r="AA732" i="26"/>
  <c r="AA2953" i="26"/>
  <c r="AA675" i="26"/>
  <c r="AA2921" i="26"/>
  <c r="AA541" i="26"/>
  <c r="AA2659" i="26"/>
  <c r="AA1562" i="26"/>
  <c r="AA1482" i="26"/>
  <c r="AA877" i="26"/>
  <c r="AA938" i="26"/>
  <c r="AA3195" i="26"/>
  <c r="AA2860" i="26"/>
  <c r="AA3123" i="26"/>
  <c r="AA3259" i="26"/>
  <c r="AA919" i="26"/>
  <c r="AA304" i="26"/>
  <c r="AA1849" i="26"/>
  <c r="AA763" i="26"/>
  <c r="AA2077" i="26"/>
  <c r="AA2588" i="26"/>
  <c r="AA218" i="26"/>
  <c r="AA1313" i="26"/>
  <c r="AA1803" i="26"/>
  <c r="AA1346" i="26"/>
  <c r="AA723" i="26"/>
  <c r="AA51" i="26"/>
  <c r="AA2349" i="26"/>
  <c r="AA701" i="26"/>
  <c r="AA3162" i="26"/>
  <c r="AA2055" i="26"/>
  <c r="AA1051" i="26"/>
  <c r="AA3147" i="26"/>
  <c r="AA2495" i="26"/>
  <c r="AA1416" i="26"/>
  <c r="AA50" i="26"/>
  <c r="AA1060" i="26"/>
  <c r="AA1229" i="26"/>
  <c r="AA2441" i="26"/>
  <c r="AA784" i="26"/>
  <c r="AA693" i="26"/>
  <c r="AA3348" i="26"/>
  <c r="AA2513" i="26"/>
  <c r="AA2177" i="26"/>
  <c r="AA3423" i="26"/>
  <c r="AA2326" i="26"/>
  <c r="AA15" i="26"/>
  <c r="AA1602" i="26"/>
  <c r="AA1391" i="26"/>
  <c r="AA424" i="26"/>
  <c r="AA883" i="26"/>
  <c r="AA1575" i="26"/>
  <c r="AA192" i="26"/>
  <c r="AA1898" i="26"/>
  <c r="AA423" i="26"/>
  <c r="AA200" i="26"/>
  <c r="AA2876" i="26"/>
  <c r="AA207" i="26"/>
  <c r="AA2628" i="26"/>
  <c r="AA1950" i="26"/>
  <c r="AA2735" i="26"/>
  <c r="AA1837" i="26"/>
  <c r="AA2150" i="26"/>
  <c r="AA495" i="26"/>
  <c r="AA2076" i="26"/>
  <c r="AA2223" i="26"/>
  <c r="AA3176" i="26"/>
  <c r="AA1696" i="26"/>
  <c r="AA2010" i="26"/>
  <c r="AA1396" i="26"/>
  <c r="AA2526" i="26"/>
  <c r="AA920" i="26"/>
  <c r="AA2377" i="26"/>
  <c r="AA2861" i="26"/>
  <c r="AA989" i="26"/>
  <c r="AA1706" i="26"/>
  <c r="AA2003" i="26"/>
  <c r="AA2611" i="26"/>
  <c r="AA2384" i="26"/>
  <c r="AA3149" i="26"/>
  <c r="AA1978" i="26"/>
  <c r="AA1581" i="26"/>
  <c r="AA3188" i="26"/>
  <c r="AA2152" i="26"/>
  <c r="AA346" i="26"/>
  <c r="AA1830" i="26"/>
  <c r="AA3367" i="26"/>
  <c r="AA3119" i="26"/>
  <c r="AA1981" i="26"/>
  <c r="AA1517" i="26"/>
  <c r="AA1077" i="26"/>
  <c r="AA2422" i="26"/>
  <c r="AA2461" i="26"/>
  <c r="AA3240" i="26"/>
  <c r="AA1757" i="26"/>
  <c r="AA1738" i="26"/>
  <c r="AA349" i="26"/>
  <c r="AA824" i="26"/>
  <c r="AA808" i="26"/>
  <c r="AA2153" i="26"/>
  <c r="AA2607" i="26"/>
  <c r="AA1640" i="26"/>
  <c r="AA1139" i="26"/>
  <c r="AA799" i="26"/>
  <c r="AA452" i="26"/>
  <c r="AA661" i="26"/>
  <c r="AA3479" i="26"/>
  <c r="AA1503" i="26"/>
  <c r="AA1524" i="26"/>
  <c r="AA1199" i="26"/>
  <c r="AA1382" i="26"/>
  <c r="AA44" i="26"/>
  <c r="AA835" i="26"/>
  <c r="AA741" i="26"/>
  <c r="AA1904" i="26"/>
  <c r="AA1866" i="26"/>
  <c r="AA131" i="26"/>
  <c r="AA3163" i="26"/>
  <c r="AA2599" i="26"/>
  <c r="AA1425" i="26"/>
  <c r="AA1638" i="26"/>
  <c r="AA155" i="26"/>
  <c r="AA1563" i="26"/>
  <c r="AA2955" i="26"/>
  <c r="AA3320" i="26"/>
  <c r="AA2895" i="26"/>
  <c r="AA199" i="26"/>
  <c r="AA1965" i="26"/>
  <c r="AA2819" i="26"/>
  <c r="AA1614" i="26"/>
  <c r="AA2011" i="26"/>
  <c r="AA892" i="26"/>
  <c r="AA369" i="26"/>
  <c r="AA923" i="26"/>
  <c r="AA3311" i="26"/>
  <c r="AA2224" i="26"/>
  <c r="AA1356" i="26"/>
  <c r="AA3342" i="26"/>
  <c r="AA717" i="26"/>
  <c r="AA1729" i="26"/>
  <c r="AA3217" i="26"/>
  <c r="AA20" i="26"/>
  <c r="AA889" i="26"/>
  <c r="AA3442" i="26"/>
  <c r="AA221" i="26"/>
  <c r="AA3381" i="26"/>
  <c r="AA3089" i="26"/>
  <c r="AA2083" i="26"/>
  <c r="AA2543" i="26"/>
  <c r="AA1069" i="26"/>
  <c r="AA679" i="26"/>
  <c r="AA2498" i="26"/>
  <c r="AA3325" i="26"/>
  <c r="AA2203" i="26"/>
  <c r="AA1257" i="26"/>
  <c r="AA1178" i="26"/>
  <c r="AA2915" i="26"/>
  <c r="AA3141" i="26"/>
  <c r="AA2057" i="26"/>
  <c r="AA699" i="26"/>
  <c r="AA589" i="26"/>
  <c r="AA12" i="26"/>
  <c r="AA3172" i="26"/>
  <c r="AA2053" i="26"/>
  <c r="AA3356" i="26"/>
  <c r="AA2128" i="26"/>
  <c r="AA3290" i="26"/>
  <c r="AA2185" i="26"/>
  <c r="AA3341" i="26"/>
  <c r="AA156" i="26"/>
  <c r="AA2017" i="26"/>
  <c r="AA890" i="26"/>
  <c r="AA728" i="26"/>
  <c r="AA1982" i="26"/>
  <c r="AA2556" i="26"/>
  <c r="AA2027" i="26"/>
  <c r="AA318" i="26"/>
  <c r="AA1387" i="26"/>
  <c r="AA2234" i="26"/>
  <c r="AA1502" i="26"/>
  <c r="AA572" i="26"/>
  <c r="AA3317" i="26"/>
  <c r="AA2029" i="26"/>
  <c r="AA3433" i="26"/>
  <c r="AA3332" i="26"/>
  <c r="AA3254" i="26"/>
  <c r="AA758" i="26"/>
  <c r="AA1371" i="26"/>
  <c r="AA1372" i="26"/>
  <c r="AA3023" i="26"/>
  <c r="AA3530" i="26"/>
  <c r="AA19" i="26"/>
  <c r="AA1923" i="26"/>
  <c r="AA2421" i="26"/>
  <c r="AA127" i="26"/>
  <c r="AA2056" i="26"/>
  <c r="AA1821" i="26"/>
  <c r="AA2896" i="26"/>
  <c r="AA1593" i="26"/>
  <c r="AA1104" i="26"/>
  <c r="AA1166" i="26"/>
  <c r="AA1115" i="26"/>
  <c r="AA467" i="26"/>
  <c r="AA394" i="26"/>
  <c r="AA729" i="26"/>
  <c r="AA1413" i="26"/>
  <c r="AA737" i="26"/>
  <c r="AA3443" i="26"/>
  <c r="AA2023" i="26"/>
  <c r="AA1381" i="26"/>
  <c r="AA3049" i="26"/>
  <c r="AA927" i="26"/>
  <c r="AA2250" i="26"/>
  <c r="AA1418" i="26"/>
  <c r="AA1661" i="26"/>
  <c r="AA930" i="26"/>
  <c r="AA1094" i="26"/>
  <c r="AA1195" i="26"/>
  <c r="AA320" i="26"/>
  <c r="AA313" i="26"/>
  <c r="AA2660" i="26"/>
  <c r="AA2759" i="26"/>
  <c r="AA591" i="26"/>
  <c r="AA850" i="26"/>
  <c r="AA2962" i="26"/>
  <c r="AA2103" i="26"/>
  <c r="AA3288" i="26"/>
  <c r="AA1040" i="26"/>
  <c r="AA2410" i="26"/>
  <c r="AA644" i="26"/>
  <c r="AA2586" i="26"/>
  <c r="AA2061" i="26"/>
  <c r="AA3174" i="26"/>
  <c r="AA2174" i="26"/>
  <c r="AA2720" i="26"/>
  <c r="AA3090" i="26"/>
  <c r="AA122" i="26"/>
  <c r="AA1811" i="26"/>
  <c r="AA2800" i="26"/>
  <c r="AA1215" i="26"/>
  <c r="AA2834" i="26"/>
  <c r="AA2093" i="26"/>
  <c r="AA3139" i="26"/>
  <c r="AA626" i="26"/>
  <c r="AA885" i="26"/>
  <c r="AA387" i="26"/>
  <c r="AA3396" i="26"/>
  <c r="AA942" i="26"/>
  <c r="AA834" i="26"/>
  <c r="AA2328" i="26"/>
  <c r="AA3252" i="26"/>
  <c r="AA848" i="26"/>
  <c r="AA1589" i="26"/>
  <c r="AA1175" i="26"/>
  <c r="AA309" i="26"/>
  <c r="AA2122" i="26"/>
  <c r="AA3496" i="26"/>
  <c r="AA1037" i="26"/>
  <c r="AA3251" i="26"/>
  <c r="AA48" i="26"/>
  <c r="AA1612" i="26"/>
  <c r="AA2219" i="26"/>
  <c r="AA710" i="26"/>
  <c r="AA1979" i="26"/>
  <c r="AA384" i="26"/>
  <c r="AA584" i="26"/>
  <c r="AA1083" i="26"/>
  <c r="AA2293" i="26"/>
  <c r="AA2307" i="26"/>
  <c r="AA2969" i="26"/>
  <c r="AA358" i="26"/>
  <c r="AA2012" i="26"/>
  <c r="AA1438" i="26"/>
  <c r="AA237" i="26"/>
  <c r="AA1495" i="26"/>
  <c r="AA1806" i="26"/>
  <c r="AA134" i="26"/>
  <c r="AA2107" i="26"/>
  <c r="AA2980" i="26"/>
  <c r="AA539" i="26"/>
  <c r="AA2306" i="26"/>
  <c r="AA884" i="26"/>
  <c r="AA3248" i="26"/>
  <c r="AA3145" i="26"/>
  <c r="AA685" i="26"/>
  <c r="AA777" i="26"/>
  <c r="AA1798" i="26"/>
  <c r="AA1672" i="26"/>
  <c r="AA3066" i="26"/>
  <c r="AA1278" i="26"/>
  <c r="AA2492" i="26"/>
  <c r="AA734" i="26"/>
  <c r="AA78" i="26"/>
  <c r="AA2982" i="26"/>
  <c r="AA2540" i="26"/>
  <c r="AA2552" i="26"/>
  <c r="AA1286" i="26"/>
  <c r="AA2755" i="26"/>
  <c r="AA442" i="26"/>
  <c r="AA1410" i="26"/>
  <c r="AA1631" i="26"/>
  <c r="AA2412" i="26"/>
  <c r="AA1910" i="26"/>
  <c r="AA2951" i="26"/>
  <c r="AA760" i="26"/>
  <c r="AA2126" i="26"/>
  <c r="AA2039" i="26"/>
  <c r="AA1799" i="26"/>
  <c r="AA2363" i="26"/>
  <c r="AA1343" i="26"/>
  <c r="AA2302" i="26"/>
  <c r="AA1293" i="26"/>
  <c r="AA279" i="26"/>
  <c r="AA2456" i="26"/>
  <c r="AA1004" i="26"/>
  <c r="AA2813" i="26"/>
  <c r="AA1822" i="26"/>
  <c r="AA3505" i="26"/>
  <c r="AA3154" i="26"/>
  <c r="AA621" i="26"/>
  <c r="AA368" i="26"/>
  <c r="AA3242" i="26"/>
  <c r="AA1283" i="26"/>
  <c r="AA2261" i="26"/>
  <c r="AA1023" i="26"/>
  <c r="AA1492" i="26"/>
  <c r="AA1005" i="26"/>
  <c r="AA2362" i="26"/>
  <c r="AA1205" i="26"/>
  <c r="AA1274" i="26"/>
  <c r="AA2088" i="26"/>
  <c r="AA2022" i="26"/>
  <c r="AA334" i="26"/>
  <c r="AA1878" i="26"/>
  <c r="AA1523" i="26"/>
  <c r="AA2647" i="26"/>
  <c r="AA1477" i="26"/>
  <c r="AA802" i="26"/>
  <c r="AA3319" i="26"/>
  <c r="AA3344" i="26"/>
  <c r="AA2074" i="26"/>
  <c r="AA3125" i="26"/>
  <c r="AA1001" i="26"/>
  <c r="AA1193" i="26"/>
  <c r="AA2301" i="26"/>
  <c r="AA2626" i="26"/>
  <c r="AA2806" i="26"/>
  <c r="AA1554" i="26"/>
  <c r="AA2343" i="26"/>
  <c r="AA1219" i="26"/>
  <c r="AA858" i="26"/>
  <c r="AA2965" i="26"/>
  <c r="AA1568" i="26"/>
  <c r="AA2130" i="26"/>
  <c r="AA3081" i="26"/>
  <c r="AA108" i="26"/>
  <c r="AA547" i="26"/>
  <c r="AA1993" i="26"/>
  <c r="AA1020" i="26"/>
  <c r="AA869" i="26"/>
  <c r="AA55" i="26"/>
  <c r="AA1225" i="26"/>
  <c r="AA1072" i="26"/>
  <c r="AA613" i="26"/>
  <c r="AA86" i="26"/>
  <c r="AA1183" i="26"/>
  <c r="AA2269" i="26"/>
  <c r="AA306" i="26"/>
  <c r="AA3166" i="26"/>
  <c r="AA1132" i="26"/>
  <c r="AA1470" i="26"/>
  <c r="AA2560" i="26"/>
  <c r="AA1690" i="26"/>
  <c r="AA565" i="26"/>
  <c r="AA3082" i="26"/>
  <c r="AA163" i="26"/>
  <c r="AA795" i="26"/>
  <c r="AA2816" i="26"/>
  <c r="AA187" i="26"/>
  <c r="AA2233" i="26"/>
  <c r="AA2124" i="26"/>
  <c r="AA2406" i="26"/>
  <c r="AA1509" i="26"/>
  <c r="AA2008" i="26"/>
  <c r="AA2653" i="26"/>
  <c r="AA2582" i="26"/>
  <c r="AA1427" i="26"/>
  <c r="AA60" i="26"/>
  <c r="AA965" i="26"/>
  <c r="AA3113" i="26"/>
  <c r="AA1494" i="26"/>
  <c r="AA855" i="26"/>
  <c r="AA2376" i="26"/>
  <c r="AA2978" i="26"/>
  <c r="AA789" i="26"/>
  <c r="AA583" i="26"/>
  <c r="AA2276" i="26"/>
  <c r="AA188" i="26"/>
  <c r="AA2631" i="26"/>
  <c r="AA177" i="26"/>
  <c r="AA1668" i="26"/>
  <c r="AA1767" i="26"/>
  <c r="AA3112" i="26"/>
  <c r="AA3527" i="26"/>
  <c r="AA27" i="26"/>
  <c r="AA3221" i="26"/>
  <c r="AA2477" i="26"/>
  <c r="AA1963" i="26"/>
  <c r="AA2244" i="26"/>
  <c r="AA2246" i="26"/>
  <c r="AA2770" i="26"/>
  <c r="AA1312" i="26"/>
  <c r="AA673" i="26"/>
  <c r="AA2119" i="26"/>
  <c r="AA1848" i="26"/>
  <c r="AA485" i="26"/>
  <c r="AA2612" i="26"/>
  <c r="AA202" i="26"/>
  <c r="AA2296" i="26"/>
  <c r="AA2231" i="26"/>
  <c r="AA558" i="26"/>
  <c r="AA2707" i="26"/>
  <c r="AA2671" i="26"/>
  <c r="AA2756" i="26"/>
  <c r="AA1966" i="26"/>
  <c r="AA1997" i="26"/>
  <c r="AA949" i="26"/>
  <c r="AA2970" i="26"/>
  <c r="AA2976" i="26"/>
  <c r="AA1088" i="26"/>
  <c r="AA3039" i="26"/>
  <c r="AA2594" i="26"/>
  <c r="AA2046" i="26"/>
  <c r="AA2996" i="26"/>
  <c r="AA2357" i="26"/>
  <c r="AA1013" i="26"/>
  <c r="AA3073" i="26"/>
  <c r="AA1474" i="26"/>
  <c r="AA35" i="26"/>
  <c r="AA2049" i="26"/>
  <c r="AA3428" i="26"/>
  <c r="AA3080" i="26"/>
  <c r="AA450" i="26"/>
  <c r="AA2680" i="26"/>
  <c r="AA2200" i="26"/>
  <c r="AA3376" i="26"/>
  <c r="AA73" i="26"/>
  <c r="AA800" i="26"/>
  <c r="AA901" i="26"/>
  <c r="AA117" i="26"/>
  <c r="AA2433" i="26"/>
  <c r="AA296" i="26"/>
  <c r="AA2247" i="26"/>
  <c r="AA1576" i="26"/>
  <c r="AA1613" i="26"/>
  <c r="AA3140" i="26"/>
  <c r="AA261" i="26"/>
  <c r="AA1827" i="26"/>
  <c r="AA3487" i="26"/>
  <c r="AA1752" i="26"/>
  <c r="AA3352" i="26"/>
  <c r="AA833" i="26"/>
  <c r="AA533" i="26"/>
  <c r="AA1804" i="26"/>
  <c r="AA401" i="26"/>
  <c r="AA2001" i="26"/>
  <c r="AA1773" i="26"/>
  <c r="AA2672" i="26"/>
  <c r="AA2761" i="26"/>
  <c r="AA1702" i="26"/>
  <c r="AA429" i="26"/>
  <c r="AA816" i="26"/>
  <c r="AA3315" i="26"/>
  <c r="AA615" i="26"/>
  <c r="AA2900" i="26"/>
  <c r="AA3504" i="26"/>
  <c r="AA759" i="26"/>
  <c r="AA2187" i="26"/>
  <c r="AA3422" i="26"/>
  <c r="AA3450" i="26"/>
  <c r="AA3261" i="26"/>
  <c r="AA3513" i="26"/>
  <c r="AA1376" i="26"/>
  <c r="AA2979" i="26"/>
  <c r="AA3029" i="26"/>
  <c r="AA1370" i="26"/>
  <c r="AA416" i="26"/>
  <c r="AA2332" i="26"/>
  <c r="AA1170" i="26"/>
  <c r="AA370" i="26"/>
  <c r="AA3014" i="26"/>
  <c r="AA500" i="26"/>
  <c r="AA829" i="26"/>
  <c r="AA3333" i="26"/>
  <c r="AA476" i="26"/>
  <c r="AA3313" i="26"/>
  <c r="AA3455" i="26"/>
  <c r="AA1949" i="26"/>
  <c r="AA761" i="26"/>
  <c r="AA398" i="26"/>
  <c r="AA996" i="26"/>
  <c r="AA2847" i="26"/>
  <c r="AA956" i="26"/>
  <c r="AA434" i="26"/>
  <c r="AA2640" i="26"/>
  <c r="AA1208" i="26"/>
  <c r="AA1363" i="26"/>
  <c r="AA2463" i="26"/>
  <c r="AA1618" i="26"/>
  <c r="AA3214" i="26"/>
  <c r="AA534" i="26"/>
  <c r="AA406" i="26"/>
  <c r="AA2136" i="26"/>
  <c r="AA1501" i="26"/>
  <c r="AA2874" i="26"/>
  <c r="AA3027" i="26"/>
  <c r="AA1262" i="26"/>
  <c r="AA2452" i="26"/>
  <c r="AA1759" i="26"/>
  <c r="AA2748" i="26"/>
  <c r="AA2226" i="26"/>
  <c r="AA984" i="26"/>
  <c r="AA90" i="26"/>
  <c r="AA3148" i="26"/>
  <c r="AA2634" i="26"/>
  <c r="AA364" i="26"/>
  <c r="AA2910" i="26"/>
  <c r="AA1732" i="26"/>
  <c r="AA2596" i="26"/>
  <c r="AA1054" i="26"/>
  <c r="AA3278" i="26"/>
  <c r="AA1345" i="26"/>
  <c r="AA1885" i="26"/>
  <c r="AA189" i="26"/>
  <c r="AA3001" i="26"/>
  <c r="AA494" i="26"/>
  <c r="AA2722" i="26"/>
  <c r="AA92" i="26"/>
  <c r="AA1520" i="26"/>
  <c r="AA360" i="26"/>
  <c r="AA563" i="26"/>
  <c r="AA3383" i="26"/>
  <c r="AA1693" i="26"/>
  <c r="AA374" i="26"/>
  <c r="AA796" i="26"/>
  <c r="AA552" i="26"/>
  <c r="AA513" i="26"/>
  <c r="AA1541" i="26"/>
  <c r="AA89" i="26"/>
  <c r="AA2571" i="26"/>
  <c r="AA2831" i="26"/>
  <c r="AA1125" i="26"/>
  <c r="AA2288" i="26"/>
  <c r="AA1954" i="26"/>
  <c r="AA902" i="26"/>
  <c r="AA42" i="26"/>
  <c r="AA2621" i="26"/>
  <c r="AA3026" i="26"/>
  <c r="AA755" i="26"/>
  <c r="AA3493" i="26"/>
  <c r="AA3056" i="26"/>
  <c r="AA1959" i="26"/>
  <c r="AA1951" i="26"/>
  <c r="AA3401" i="26"/>
  <c r="AA2435" i="26"/>
  <c r="AA1870" i="26"/>
  <c r="AA3177" i="26"/>
  <c r="AA2706" i="26"/>
  <c r="AA2282" i="26"/>
  <c r="AA601" i="26"/>
  <c r="AA874" i="26"/>
  <c r="AA2909" i="26"/>
  <c r="AA2692" i="26"/>
  <c r="AA690" i="26"/>
  <c r="AA3111" i="26"/>
  <c r="AA2395" i="26"/>
  <c r="AA30" i="26"/>
  <c r="AA1698" i="26"/>
  <c r="AA1377" i="26"/>
  <c r="AA103" i="26"/>
  <c r="AA3100" i="26"/>
  <c r="AA664" i="26"/>
  <c r="AA1533" i="26"/>
  <c r="AA1017" i="26"/>
  <c r="AA3386" i="26"/>
  <c r="AA2502" i="26"/>
  <c r="AA2975" i="26"/>
  <c r="AA2216" i="26"/>
  <c r="AA2677" i="26"/>
  <c r="AA2403" i="26"/>
  <c r="AA437" i="26"/>
  <c r="AA2958" i="26"/>
  <c r="AA2255" i="26"/>
  <c r="AA715" i="26"/>
  <c r="AA2229" i="26"/>
  <c r="AA2811" i="26"/>
  <c r="AA3071" i="26"/>
  <c r="AA2464" i="26"/>
  <c r="AA405" i="26"/>
  <c r="AA487" i="26"/>
  <c r="AA847" i="26"/>
  <c r="AA1853" i="26"/>
  <c r="AA1829" i="26"/>
  <c r="AA3068" i="26"/>
  <c r="AA1173" i="26"/>
  <c r="AA1479" i="26"/>
  <c r="AA830" i="26"/>
  <c r="AA2041" i="26"/>
  <c r="AA3366" i="26"/>
  <c r="AA779" i="26"/>
  <c r="AA1526" i="26"/>
  <c r="AA992" i="26"/>
  <c r="AA695" i="26"/>
  <c r="AA2579" i="26"/>
  <c r="AA162" i="26"/>
  <c r="AA2186" i="26"/>
  <c r="AA870" i="26"/>
  <c r="AA1000" i="26"/>
  <c r="AA1386" i="26"/>
  <c r="AA2253" i="26"/>
  <c r="AA3391" i="26"/>
  <c r="AA2079" i="26"/>
  <c r="AA2863" i="26"/>
  <c r="AA1925" i="26"/>
  <c r="AA1665" i="26"/>
  <c r="AA2190" i="26"/>
  <c r="AA302" i="26"/>
  <c r="AA990" i="26"/>
  <c r="AA2450" i="26"/>
  <c r="AA3015" i="26"/>
  <c r="AA2066" i="26"/>
  <c r="AA1226" i="26"/>
  <c r="AA817" i="26"/>
  <c r="AA96" i="26"/>
  <c r="AA1749" i="26"/>
  <c r="AA1043" i="26"/>
  <c r="AA2578" i="26"/>
  <c r="AA3375" i="26"/>
  <c r="AA2767" i="26"/>
  <c r="AA1787" i="26"/>
  <c r="AA2318" i="26"/>
  <c r="AA2248" i="26"/>
  <c r="AA1992" i="26"/>
  <c r="AA1883" i="26"/>
  <c r="AA2334" i="26"/>
  <c r="AA2145" i="26"/>
  <c r="AA1073" i="26"/>
  <c r="AA230" i="26"/>
  <c r="AA118" i="26"/>
  <c r="AA3280" i="26"/>
  <c r="AA3129" i="26"/>
  <c r="AA1941" i="26"/>
  <c r="AA2967" i="26"/>
  <c r="AA2651" i="26"/>
  <c r="AA549" i="26"/>
  <c r="AA1840" i="26"/>
  <c r="AA1577" i="26"/>
  <c r="AA403" i="26"/>
  <c r="AA1411" i="26"/>
  <c r="AA3230" i="26"/>
  <c r="AA1394" i="26"/>
  <c r="AA1919" i="26"/>
  <c r="AA38" i="26"/>
  <c r="AA1838" i="26"/>
  <c r="AA3364" i="26"/>
  <c r="AA1588" i="26"/>
  <c r="AA1847" i="26"/>
  <c r="AA1245" i="26"/>
  <c r="AA1609" i="26"/>
  <c r="AA2815" i="26"/>
  <c r="AA1018" i="26"/>
  <c r="AA2808" i="26"/>
  <c r="AA2108" i="26"/>
  <c r="AA3142" i="26"/>
  <c r="AA3245" i="26"/>
  <c r="AA1177" i="26"/>
  <c r="AA151" i="26"/>
  <c r="AA361" i="26"/>
  <c r="AA2792" i="26"/>
  <c r="AA305" i="26"/>
  <c r="AA243" i="26"/>
  <c r="AA2510" i="26"/>
  <c r="AA420" i="26"/>
  <c r="AA2454" i="26"/>
  <c r="AA3043" i="26"/>
  <c r="AA1400" i="26"/>
  <c r="AA182" i="26"/>
  <c r="AA1572" i="26"/>
  <c r="AA3238" i="26"/>
  <c r="AA1934" i="26"/>
  <c r="AA3235" i="26"/>
  <c r="AA2697" i="26"/>
  <c r="AA3002" i="26"/>
  <c r="AA431" i="26"/>
  <c r="AA389" i="26"/>
  <c r="AA660" i="26"/>
  <c r="AA3207" i="26"/>
  <c r="AA1080" i="26"/>
  <c r="AA2696" i="26"/>
  <c r="AA240" i="26"/>
  <c r="AA1379" i="26"/>
  <c r="AA1569" i="26"/>
  <c r="AA1330" i="26"/>
  <c r="AA1217" i="26"/>
  <c r="AA2549" i="26"/>
  <c r="AA342" i="26"/>
  <c r="AA1167" i="26"/>
  <c r="AA3414" i="26"/>
  <c r="AA748" i="26"/>
  <c r="AA1292" i="26"/>
  <c r="AA781" i="26"/>
  <c r="AA365" i="26"/>
  <c r="AA2747" i="26"/>
  <c r="AA2829" i="26"/>
  <c r="AA150" i="26"/>
  <c r="AA3326" i="26"/>
  <c r="AA1122" i="26"/>
  <c r="AA82" i="26"/>
  <c r="AA769" i="26"/>
  <c r="AA2415" i="26"/>
  <c r="AA2047" i="26"/>
  <c r="AA255" i="26"/>
  <c r="AA1259" i="26"/>
  <c r="AA3531" i="26"/>
  <c r="AA2632" i="26"/>
  <c r="AA158" i="26"/>
  <c r="AA1929" i="26"/>
  <c r="AA2154" i="26"/>
  <c r="AA1637" i="26"/>
  <c r="AA2325" i="26"/>
  <c r="AA2470" i="26"/>
  <c r="AA1160" i="26"/>
  <c r="AA191" i="26"/>
  <c r="AA574" i="26"/>
  <c r="AA537" i="26"/>
  <c r="AA867" i="26"/>
  <c r="AA308" i="26"/>
  <c r="AA1451" i="26"/>
  <c r="AA2778" i="26"/>
  <c r="AA1478" i="26"/>
  <c r="AA3041" i="26"/>
  <c r="AA2836" i="26"/>
  <c r="AA2389" i="26"/>
  <c r="AA1076" i="26"/>
  <c r="AA2878" i="26"/>
  <c r="AA1986" i="26"/>
  <c r="AA1712" i="26"/>
  <c r="AA1268" i="26"/>
  <c r="AA2505" i="26"/>
  <c r="AA2351" i="26"/>
  <c r="AA1663" i="26"/>
  <c r="AA283" i="26"/>
  <c r="AA780" i="26"/>
  <c r="AA1172" i="26"/>
  <c r="AA2092" i="26"/>
  <c r="AA1506" i="26"/>
  <c r="AA3283" i="26"/>
  <c r="AA1432" i="26"/>
  <c r="AA3205" i="26"/>
  <c r="AA2327" i="26"/>
  <c r="AA425" i="26"/>
  <c r="AA1263" i="26"/>
  <c r="AA1670" i="26"/>
  <c r="AA2265" i="26"/>
  <c r="AA2277" i="26"/>
  <c r="AA2457" i="26"/>
  <c r="AA176" i="26"/>
  <c r="AA864" i="26"/>
  <c r="AA462" i="26"/>
  <c r="AA1566" i="26"/>
  <c r="AA1892" i="26"/>
  <c r="AA959" i="26"/>
  <c r="AA636" i="26"/>
  <c r="AA1937" i="26"/>
  <c r="AA801" i="26"/>
  <c r="AA1532" i="26"/>
  <c r="AA2550" i="26"/>
  <c r="AA1113" i="26"/>
  <c r="AA1839" i="26"/>
  <c r="AA343" i="26"/>
  <c r="AA720" i="26"/>
  <c r="AA2610" i="26"/>
  <c r="AA1329" i="26"/>
  <c r="AA3010" i="26"/>
  <c r="AA2287" i="26"/>
  <c r="AA1983" i="26"/>
  <c r="AA2901" i="26"/>
  <c r="AA2398" i="26"/>
  <c r="AA2584" i="26"/>
  <c r="AA1529" i="26"/>
  <c r="AA933" i="26"/>
  <c r="AA2765" i="26"/>
  <c r="AA197" i="26"/>
  <c r="AA386" i="26"/>
  <c r="AA1066" i="26"/>
  <c r="AA277" i="26"/>
  <c r="AA1768" i="26"/>
  <c r="AA1273" i="26"/>
  <c r="AA2295" i="26"/>
  <c r="AA1091" i="26"/>
  <c r="AA2499" i="26"/>
  <c r="AA2939" i="26"/>
  <c r="AA22" i="26"/>
  <c r="AA831" i="26"/>
  <c r="AA1580" i="26"/>
  <c r="AA1241" i="26"/>
  <c r="AA1962" i="26"/>
  <c r="AA3138" i="26"/>
  <c r="AA2853" i="26"/>
  <c r="AA2322" i="26"/>
  <c r="AA3198" i="26"/>
  <c r="AA2358" i="26"/>
  <c r="AA1179" i="26"/>
  <c r="AA2652" i="26"/>
  <c r="AA1059" i="26"/>
  <c r="AA623" i="26"/>
  <c r="AA3058" i="26"/>
  <c r="AA1873" i="26"/>
  <c r="AA2718" i="26"/>
  <c r="AA276" i="26"/>
  <c r="AA1375" i="26"/>
  <c r="AA2099" i="26"/>
  <c r="AA586" i="26"/>
  <c r="AA1056" i="26"/>
  <c r="AA441" i="26"/>
  <c r="AA2026" i="26"/>
  <c r="AA3190" i="26"/>
  <c r="AA2391" i="26"/>
  <c r="AA2118" i="26"/>
  <c r="AA1544" i="26"/>
  <c r="AA2752" i="26"/>
  <c r="AA2189" i="26"/>
  <c r="AA1942" i="26"/>
  <c r="AA651" i="26"/>
  <c r="AA2235" i="26"/>
  <c r="AA1703" i="26"/>
  <c r="AA3099" i="26"/>
  <c r="AA180" i="26"/>
  <c r="AA1159" i="26"/>
  <c r="AA951" i="26"/>
  <c r="AA2563" i="26"/>
  <c r="AA460" i="26"/>
  <c r="AA903" i="26"/>
  <c r="AA768" i="26"/>
  <c r="AA459" i="26"/>
  <c r="AA81" i="26"/>
  <c r="AA324" i="26"/>
  <c r="AA3295" i="26"/>
  <c r="AA1711" i="26"/>
  <c r="AA3192" i="26"/>
  <c r="AA3045" i="26"/>
  <c r="AA507" i="26"/>
  <c r="AA958" i="26"/>
  <c r="AA3519" i="26"/>
  <c r="AA293" i="26"/>
  <c r="AA3203" i="26"/>
  <c r="AA1708" i="26"/>
  <c r="AA1421" i="26"/>
  <c r="AA3402" i="26"/>
  <c r="AA3116" i="26"/>
  <c r="AA3173" i="26"/>
  <c r="AA745" i="26"/>
  <c r="AA3067" i="26"/>
  <c r="AA3098" i="26"/>
  <c r="AA355" i="26"/>
  <c r="AA2330" i="26"/>
  <c r="AA1082" i="26"/>
  <c r="AA400" i="26"/>
  <c r="AA2031" i="26"/>
  <c r="AA2172" i="26"/>
  <c r="AA3362" i="26"/>
  <c r="AA1662" i="26"/>
  <c r="AA2689" i="26"/>
  <c r="AA281" i="26"/>
  <c r="AA3074" i="26"/>
  <c r="AA2121" i="26"/>
  <c r="AA630" i="26"/>
  <c r="AA2763" i="26"/>
  <c r="AA1504" i="26"/>
  <c r="AA2162" i="26"/>
  <c r="AA647" i="26"/>
  <c r="AA1099" i="26"/>
  <c r="AA1459" i="26"/>
  <c r="AA2681" i="26"/>
  <c r="AA944" i="26"/>
  <c r="AA299" i="26"/>
  <c r="AA301" i="26"/>
  <c r="AA624" i="26"/>
  <c r="AA88" i="26"/>
  <c r="AA2775" i="26"/>
  <c r="AA3429" i="26"/>
  <c r="AA68" i="26"/>
  <c r="AA2710" i="26"/>
  <c r="AA2888" i="26"/>
  <c r="AA797" i="26"/>
  <c r="AA1594" i="26"/>
  <c r="AA1545" i="26"/>
  <c r="AA1617" i="26"/>
  <c r="AA2501" i="26"/>
  <c r="AA1282" i="26"/>
  <c r="AA2523" i="26"/>
  <c r="AA2907" i="26"/>
  <c r="AA3286" i="26"/>
  <c r="AA639" i="26"/>
  <c r="AA2629" i="26"/>
  <c r="AA1730" i="26"/>
  <c r="AA1867" i="26"/>
  <c r="AA2169" i="26"/>
  <c r="AA2539" i="26"/>
  <c r="AA2883" i="26"/>
  <c r="AA2726" i="26"/>
  <c r="AA3456" i="26"/>
  <c r="AA1961" i="26"/>
  <c r="AA2890" i="26"/>
  <c r="AA3368" i="26"/>
  <c r="AA3478" i="26"/>
  <c r="AA149" i="26"/>
  <c r="AA538" i="26"/>
  <c r="AA353" i="26"/>
  <c r="AA1049" i="26"/>
  <c r="AA2305" i="26"/>
  <c r="AA79" i="26"/>
  <c r="AA1285" i="26"/>
  <c r="AA1476" i="26"/>
  <c r="AA25" i="26"/>
  <c r="AA159" i="26"/>
  <c r="AA289" i="26"/>
  <c r="AA3079" i="26"/>
  <c r="AA1582" i="26"/>
  <c r="AA1249" i="26"/>
  <c r="AA1629" i="26"/>
  <c r="AA776" i="26"/>
  <c r="AA497" i="26"/>
  <c r="AA1747" i="26"/>
  <c r="AA774" i="26"/>
  <c r="AA527" i="26"/>
  <c r="AA604" i="26"/>
  <c r="AA499" i="26"/>
  <c r="AA413" i="26"/>
  <c r="AA1038" i="26"/>
  <c r="AA522" i="26"/>
  <c r="AA1062" i="26"/>
  <c r="AA2360" i="26"/>
  <c r="AA2431" i="26"/>
  <c r="AA2437" i="26"/>
  <c r="AA3301" i="26"/>
  <c r="AA1649" i="26"/>
  <c r="AA3143" i="26"/>
  <c r="AA140" i="26"/>
  <c r="AA2942" i="26"/>
  <c r="AA115" i="26"/>
  <c r="AA1666" i="26"/>
  <c r="AA1383" i="26"/>
  <c r="AA2037" i="26"/>
  <c r="AA2052" i="26"/>
  <c r="AA1184" i="26"/>
  <c r="AA184" i="26"/>
  <c r="AA987" i="26"/>
  <c r="AA2544" i="26"/>
  <c r="AA2541" i="26"/>
  <c r="AA1319" i="26"/>
  <c r="AA2823" i="26"/>
  <c r="AA2272" i="26"/>
  <c r="AA2199" i="26"/>
  <c r="AA3289" i="26"/>
  <c r="AA3447" i="26"/>
  <c r="AA2889" i="26"/>
  <c r="AA2949" i="26"/>
  <c r="AA3046" i="26"/>
  <c r="AA594" i="26"/>
  <c r="AA1481" i="26"/>
  <c r="AA1599" i="26"/>
  <c r="AA2749" i="26"/>
  <c r="AA1243" i="26"/>
  <c r="AA3359" i="26"/>
  <c r="AA2751" i="26"/>
  <c r="AA2359" i="26"/>
  <c r="AA581" i="26"/>
  <c r="AA2566" i="26"/>
  <c r="AA1868" i="26"/>
  <c r="AA1591" i="26"/>
  <c r="AA2936" i="26"/>
  <c r="AA1996" i="26"/>
  <c r="AA247" i="26"/>
  <c r="AA1905" i="26"/>
  <c r="AA1168" i="26"/>
  <c r="AA397" i="26"/>
  <c r="AA1989" i="26"/>
  <c r="AA2137" i="26"/>
  <c r="AA1918" i="26"/>
  <c r="AA252" i="26"/>
  <c r="AA1068" i="26"/>
  <c r="AA2638" i="26"/>
  <c r="AA272" i="26"/>
  <c r="AA376" i="26"/>
  <c r="AA1781" i="26"/>
  <c r="AA1920" i="26"/>
  <c r="AA3382" i="26"/>
  <c r="AA1149" i="26"/>
  <c r="AA97" i="26"/>
  <c r="AA770" i="26"/>
  <c r="AA1367" i="26"/>
  <c r="AA620" i="26"/>
  <c r="AA410" i="26"/>
  <c r="AA1174" i="26"/>
  <c r="AA1342" i="26"/>
  <c r="AA3031" i="26"/>
  <c r="AA2109" i="26"/>
  <c r="AA3186" i="26"/>
  <c r="AA3167" i="26"/>
  <c r="AA2625" i="26"/>
  <c r="AA1888" i="26"/>
  <c r="AA110" i="26"/>
  <c r="AA333" i="26"/>
  <c r="AA1369" i="26"/>
  <c r="AA404" i="26"/>
  <c r="AA2881" i="26"/>
  <c r="AA625" i="26"/>
  <c r="AA1930" i="26"/>
  <c r="AA2864" i="26"/>
  <c r="AA2870" i="26"/>
  <c r="AA1192" i="26"/>
  <c r="AA967" i="26"/>
  <c r="AA2581" i="26"/>
  <c r="AA2281" i="26"/>
  <c r="AA1465" i="26"/>
  <c r="AA632" i="26"/>
  <c r="AA1658" i="26"/>
  <c r="AA3427" i="26"/>
  <c r="AA1553" i="26"/>
  <c r="AA2557" i="26"/>
  <c r="AA590" i="26"/>
  <c r="AA696" i="26"/>
  <c r="AA1676" i="26"/>
  <c r="AA2573" i="26"/>
  <c r="AA2714" i="26"/>
  <c r="AA186" i="26"/>
  <c r="AA3178" i="26"/>
  <c r="AA439" i="26"/>
  <c r="AA3222" i="26"/>
  <c r="AA2687" i="26"/>
  <c r="AA851" i="26"/>
  <c r="AA3003" i="26"/>
  <c r="AA3044" i="26"/>
  <c r="AA1641" i="26"/>
  <c r="AA1404" i="26"/>
  <c r="AA2072" i="26"/>
  <c r="AA677" i="26"/>
  <c r="AA356" i="26"/>
  <c r="AA1859" i="26"/>
  <c r="AA1240" i="26"/>
  <c r="AA3110" i="26"/>
  <c r="AA2591" i="26"/>
  <c r="AA3206" i="26"/>
  <c r="AA846" i="26"/>
  <c r="AA1846" i="26"/>
  <c r="AA2196" i="26"/>
  <c r="AA1615" i="26"/>
  <c r="AA3508" i="26"/>
  <c r="AA2960" i="26"/>
  <c r="AA899" i="26"/>
  <c r="AA1464" i="26"/>
  <c r="AA3404" i="26"/>
  <c r="AA1684" i="26"/>
  <c r="AA1417" i="26"/>
  <c r="AA3064" i="26"/>
  <c r="AA2956" i="26"/>
  <c r="AA649" i="26"/>
  <c r="AA577" i="26"/>
  <c r="AA668" i="26"/>
  <c r="AA1619" i="26"/>
  <c r="AA161" i="26"/>
  <c r="AA2760" i="26"/>
  <c r="AA2472" i="26"/>
  <c r="AA900" i="26"/>
  <c r="AA139" i="26"/>
  <c r="AA1339" i="26"/>
  <c r="AA2891" i="26"/>
  <c r="AA1317" i="26"/>
  <c r="AA244" i="26"/>
  <c r="AA2713" i="26"/>
  <c r="AA2192" i="26"/>
  <c r="AA245" i="26"/>
  <c r="AA2818" i="26"/>
  <c r="AA275" i="26"/>
  <c r="AA2873" i="26"/>
  <c r="AA3047" i="26"/>
  <c r="AA3201" i="26"/>
  <c r="AA998" i="26"/>
  <c r="AA2493" i="26"/>
  <c r="AA65" i="26"/>
  <c r="AA2886" i="26"/>
  <c r="AA2044" i="26"/>
  <c r="AA2937" i="26"/>
  <c r="AA999" i="26"/>
  <c r="AA2711" i="26"/>
  <c r="AA652" i="26"/>
  <c r="AA2856" i="26"/>
  <c r="AA1084" i="26"/>
  <c r="AA3471" i="26"/>
  <c r="AA1793" i="26"/>
  <c r="AA1025" i="26"/>
  <c r="AA1704" i="26"/>
  <c r="AA3539" i="26"/>
  <c r="AA1814" i="26"/>
  <c r="AA1647" i="26"/>
  <c r="AA3158" i="26"/>
  <c r="AA1653" i="26"/>
  <c r="AA540" i="26"/>
  <c r="AA698" i="26"/>
  <c r="AA128" i="26"/>
  <c r="AA1114" i="26"/>
  <c r="AA826" i="26"/>
  <c r="AA2097" i="26"/>
  <c r="AA2434" i="26"/>
  <c r="AA1361" i="26"/>
  <c r="AA2802" i="26"/>
  <c r="AA2194" i="26"/>
  <c r="AA119" i="26"/>
  <c r="AA2440" i="26"/>
  <c r="AA2871" i="26"/>
  <c r="AA2932" i="26"/>
  <c r="AA3445" i="26"/>
  <c r="AA1490" i="26"/>
  <c r="AA2530" i="26"/>
  <c r="AA1453" i="26"/>
  <c r="AA2948" i="26"/>
  <c r="AA3511" i="26"/>
  <c r="AA631" i="26"/>
  <c r="AA1975" i="26"/>
  <c r="AA1513" i="26"/>
  <c r="AA3303" i="26"/>
  <c r="AA303" i="26"/>
  <c r="AA3223" i="26"/>
  <c r="AA1415" i="26"/>
  <c r="AA271" i="26"/>
  <c r="AA2858" i="26"/>
  <c r="AA2838" i="26"/>
  <c r="AA3369" i="26"/>
  <c r="AA2032" i="26"/>
  <c r="AA213" i="26"/>
  <c r="AA1750" i="26"/>
  <c r="AA1102" i="26"/>
  <c r="AA3017" i="26"/>
  <c r="AA3006" i="26"/>
  <c r="AA2912" i="26"/>
  <c r="AA3373" i="26"/>
  <c r="AA472" i="26"/>
  <c r="AA1865" i="26"/>
  <c r="AA1431" i="26"/>
  <c r="AA1902" i="26"/>
  <c r="AA3355" i="26"/>
  <c r="AA183" i="26"/>
  <c r="AA528" i="26"/>
  <c r="AA2500" i="26"/>
  <c r="AA446" i="26"/>
  <c r="AA3179" i="26"/>
  <c r="AA811" i="26"/>
  <c r="AA1463" i="26"/>
  <c r="AA488" i="26"/>
  <c r="AA1715" i="26"/>
  <c r="AA3150" i="26"/>
  <c r="AA3343" i="26"/>
  <c r="AA1310" i="26"/>
  <c r="AA2316" i="26"/>
  <c r="AA1701" i="26"/>
  <c r="AA2787" i="26"/>
  <c r="AA579" i="26"/>
  <c r="AA1692" i="26"/>
  <c r="AA1763" i="26"/>
  <c r="AA2064" i="26"/>
  <c r="AA1181" i="26"/>
  <c r="AA101" i="26"/>
  <c r="AA1931" i="26"/>
  <c r="AA726" i="26"/>
  <c r="AA1322" i="26"/>
  <c r="AA2624" i="26"/>
  <c r="AA2487" i="26"/>
  <c r="AA2125" i="26"/>
  <c r="AA3403" i="26"/>
  <c r="AA222" i="26"/>
  <c r="AA1158" i="26"/>
  <c r="AA215" i="26"/>
  <c r="AA2973" i="26"/>
  <c r="AA2085" i="26"/>
  <c r="AA2619" i="26"/>
  <c r="AA1605" i="26"/>
  <c r="AA2564" i="26"/>
  <c r="AA1758" i="26"/>
  <c r="AA2796" i="26"/>
  <c r="AA195" i="26"/>
  <c r="AA2771" i="26"/>
  <c r="AA2644" i="26"/>
  <c r="AA2776" i="26"/>
  <c r="AA3392" i="26"/>
  <c r="AA2138" i="26"/>
  <c r="AA2922" i="26"/>
  <c r="AA1316" i="26"/>
  <c r="AA3124" i="26"/>
  <c r="AA1307" i="26"/>
  <c r="AA2473" i="26"/>
  <c r="AA1820" i="26"/>
  <c r="AA689" i="26"/>
  <c r="AA3293" i="26"/>
  <c r="AA2684" i="26"/>
  <c r="AA1751" i="26"/>
  <c r="AA2938" i="26"/>
  <c r="AA1621" i="26"/>
  <c r="AA2082" i="26"/>
  <c r="AA2867" i="26"/>
  <c r="AA1430" i="26"/>
  <c r="AA622" i="26"/>
  <c r="AA1050" i="26"/>
  <c r="AA1271" i="26"/>
  <c r="AA553" i="26"/>
  <c r="AA2201" i="26"/>
  <c r="AA3310" i="26"/>
  <c r="AA762" i="26"/>
  <c r="AA1148" i="26"/>
  <c r="AA711" i="26"/>
  <c r="AA3385" i="26"/>
  <c r="AA135" i="26"/>
  <c r="AA1699" i="26"/>
  <c r="AA3312" i="26"/>
  <c r="AA2280" i="26"/>
  <c r="AA2509" i="26"/>
  <c r="AA1719" i="26"/>
  <c r="AA765" i="26"/>
  <c r="AA1800" i="26"/>
  <c r="AA321" i="26"/>
  <c r="AA1209" i="26"/>
  <c r="AA99" i="26"/>
  <c r="AA2869" i="26"/>
  <c r="AA2678" i="26"/>
  <c r="AA2866" i="26"/>
  <c r="AA2627" i="26"/>
  <c r="AA2590" i="26"/>
  <c r="AA56" i="26"/>
  <c r="AA280" i="26"/>
  <c r="AA1191" i="26"/>
  <c r="AA3136" i="26"/>
  <c r="AA2445" i="26"/>
  <c r="AA805" i="26"/>
  <c r="AA1891" i="26"/>
  <c r="AA702" i="26"/>
  <c r="AA705" i="26"/>
  <c r="AA3197" i="26"/>
  <c r="AA422" i="26"/>
  <c r="AA2935" i="26"/>
  <c r="AA1643" i="26"/>
  <c r="AA1462" i="26"/>
  <c r="AA2227" i="26"/>
  <c r="AA107" i="26"/>
  <c r="AA2729" i="26"/>
  <c r="AA961" i="26"/>
  <c r="AA2019" i="26"/>
  <c r="AA928" i="26"/>
  <c r="AA2656" i="26"/>
  <c r="AA3399" i="26"/>
  <c r="AA2184" i="26"/>
  <c r="AA1321" i="26"/>
  <c r="AA168" i="26"/>
  <c r="AA2396" i="26"/>
  <c r="AA2367" i="26"/>
  <c r="AA775" i="26"/>
  <c r="AA585" i="26"/>
  <c r="AA2797" i="26"/>
  <c r="AA655" i="26"/>
  <c r="AA1067" i="26"/>
  <c r="AA878" i="26"/>
  <c r="AA1550" i="26"/>
  <c r="AA2141" i="26"/>
  <c r="AA1186" i="26"/>
  <c r="AA1428" i="26"/>
  <c r="AA3156" i="26"/>
  <c r="AA1606" i="26"/>
  <c r="AA238" i="26"/>
  <c r="AA1030" i="26"/>
  <c r="AA3462" i="26"/>
  <c r="AA2449" i="26"/>
  <c r="AA2361" i="26"/>
  <c r="AA1646" i="26"/>
  <c r="AA1816" i="26"/>
  <c r="AA692" i="26"/>
  <c r="AA2817" i="26"/>
  <c r="AA2754" i="26"/>
  <c r="AA618" i="26"/>
  <c r="AA2183" i="26"/>
  <c r="AA1528" i="26"/>
  <c r="AA1296" i="26"/>
  <c r="AA3470" i="26"/>
  <c r="AA3076" i="26"/>
  <c r="AA684" i="26"/>
  <c r="AA2851" i="26"/>
  <c r="AA2314" i="26"/>
  <c r="AA678" i="26"/>
  <c r="AA2786" i="26"/>
  <c r="AA173" i="26"/>
  <c r="AA1802" i="26"/>
  <c r="AA1414" i="26"/>
  <c r="AA179" i="26"/>
  <c r="AA1185" i="26"/>
  <c r="AA2275" i="26"/>
  <c r="AA104" i="26"/>
  <c r="AA1026" i="26"/>
  <c r="AA1336" i="26"/>
  <c r="AA3103" i="26"/>
  <c r="AA2333" i="26"/>
  <c r="AA3314" i="26"/>
  <c r="AA2475" i="26"/>
  <c r="AA1272" i="26"/>
  <c r="AA2841" i="26"/>
  <c r="AA1211" i="26"/>
  <c r="AA3159" i="26"/>
  <c r="AA1731" i="26"/>
  <c r="AA2537" i="26"/>
  <c r="AA2030" i="26"/>
  <c r="AA2887" i="26"/>
  <c r="AA667" i="26"/>
  <c r="AA471" i="26"/>
  <c r="AA1525" i="26"/>
  <c r="AA1947" i="26"/>
  <c r="AA2258" i="26"/>
  <c r="AA2699" i="26"/>
  <c r="AA2918" i="26"/>
  <c r="AA1154" i="26"/>
  <c r="AA473" i="26"/>
  <c r="AA1497" i="26"/>
  <c r="AA1620" i="26"/>
  <c r="AA669" i="26"/>
  <c r="AA481" i="26"/>
  <c r="AA1697" i="26"/>
  <c r="AA3194" i="26"/>
  <c r="AA2494" i="26"/>
  <c r="AA2764" i="26"/>
  <c r="AA3126" i="26"/>
  <c r="AA2683" i="26"/>
  <c r="AA1419" i="26"/>
  <c r="AA875" i="26"/>
  <c r="AA160" i="26"/>
  <c r="AA1740" i="26"/>
  <c r="AA1861" i="26"/>
  <c r="AA3432" i="26"/>
  <c r="AA468" i="26"/>
  <c r="AA3509" i="26"/>
  <c r="AA251" i="26"/>
  <c r="AA2209" i="26"/>
  <c r="AA3506" i="26"/>
  <c r="AA1984" i="26"/>
  <c r="AA2801" i="26"/>
  <c r="AA2623" i="26"/>
  <c r="AA3152" i="26"/>
  <c r="AA3106" i="26"/>
  <c r="AA791" i="26"/>
  <c r="AA703" i="26"/>
  <c r="AA1556" i="26"/>
  <c r="AA2263" i="26"/>
  <c r="AA3070" i="26"/>
  <c r="AA480" i="26"/>
  <c r="AA1089" i="26"/>
  <c r="AA646" i="26"/>
  <c r="AA1911" i="26"/>
  <c r="AA2462" i="26"/>
  <c r="AA1055" i="26"/>
  <c r="AA1899" i="26"/>
  <c r="AA2528" i="26"/>
  <c r="AA2666" i="26"/>
  <c r="AA3412" i="26"/>
  <c r="AA3459" i="26"/>
  <c r="AA2957" i="26"/>
  <c r="AA1027" i="26"/>
  <c r="AA254" i="26"/>
  <c r="AA821" i="26"/>
  <c r="AA456" i="26"/>
  <c r="AA234" i="26"/>
  <c r="AA3274" i="26"/>
  <c r="AA3419" i="26"/>
  <c r="AA1222" i="26"/>
  <c r="AA2411" i="26"/>
  <c r="AA2481" i="26"/>
  <c r="AA455" i="26"/>
  <c r="AA2116" i="26"/>
  <c r="AA32" i="26"/>
  <c r="AA2569" i="26"/>
  <c r="AA2822" i="26"/>
  <c r="AA842" i="26"/>
  <c r="AA341" i="26"/>
  <c r="AA1117" i="26"/>
  <c r="AA3265" i="26"/>
  <c r="AA532" i="26"/>
  <c r="AA1953" i="26"/>
  <c r="AA767" i="26"/>
  <c r="AA3350" i="26"/>
  <c r="AA857" i="26"/>
  <c r="AA2159" i="26"/>
  <c r="AA1813" i="26"/>
  <c r="AA1010" i="26"/>
  <c r="AA2005" i="26"/>
  <c r="AA2408" i="26"/>
  <c r="AA1440" i="26"/>
  <c r="AA371" i="26"/>
  <c r="AA3327" i="26"/>
  <c r="AA839" i="26"/>
  <c r="AA3153" i="26"/>
  <c r="AA1081" i="26"/>
  <c r="AA1721" i="26"/>
  <c r="AA2212" i="26"/>
  <c r="AA3291" i="26"/>
  <c r="AA650" i="26"/>
  <c r="AA2202" i="26"/>
  <c r="AA2768" i="26"/>
  <c r="AA1393" i="26"/>
  <c r="AA1797" i="26"/>
  <c r="AA1924" i="26"/>
  <c r="AA392" i="26"/>
  <c r="AA126" i="26"/>
  <c r="AA2859" i="26"/>
  <c r="AA1726" i="26"/>
  <c r="AA2478" i="26"/>
  <c r="AA3411" i="26"/>
  <c r="AA1771" i="26"/>
  <c r="AA263" i="26"/>
  <c r="AA1034" i="26"/>
  <c r="AA1460" i="26"/>
  <c r="AA786" i="26"/>
  <c r="AA3374" i="26"/>
  <c r="AA2081" i="26"/>
  <c r="AA1147" i="26"/>
  <c r="AA1406" i="26"/>
  <c r="AA1323" i="26"/>
  <c r="AA1340" i="26"/>
  <c r="AA882" i="26"/>
  <c r="AA526" i="26"/>
  <c r="AA837" i="26"/>
  <c r="AA2812" i="26"/>
  <c r="AA206" i="26"/>
  <c r="AA3146" i="26"/>
  <c r="AA2420" i="26"/>
  <c r="AA1118" i="26"/>
  <c r="AA510" i="26"/>
  <c r="AA2840" i="26"/>
  <c r="AA1201" i="26"/>
  <c r="AA1085" i="26"/>
  <c r="AA1917" i="26"/>
  <c r="AA738" i="26"/>
  <c r="AA1660" i="26"/>
  <c r="AA2827" i="26"/>
  <c r="AA1667" i="26"/>
  <c r="AA347" i="26"/>
  <c r="AA963" i="26"/>
  <c r="AA1223" i="26"/>
  <c r="AA3189" i="26"/>
  <c r="AA2791" i="26"/>
  <c r="AA1129" i="26"/>
  <c r="AA1163" i="26"/>
  <c r="AA1086" i="26"/>
  <c r="AA291" i="26"/>
  <c r="AA274" i="26"/>
  <c r="AA1680" i="26"/>
  <c r="AA3425" i="26"/>
  <c r="AA2356" i="26"/>
  <c r="AA3529" i="26"/>
  <c r="AA3133" i="26"/>
  <c r="AA1845" i="26"/>
  <c r="AA1255" i="26"/>
  <c r="AA2568" i="26"/>
  <c r="AA2438" i="26"/>
  <c r="AA435" i="26"/>
  <c r="AA838" i="26"/>
  <c r="AA458" i="26"/>
  <c r="AA1681" i="26"/>
  <c r="AA1436" i="26"/>
  <c r="AA566" i="26"/>
  <c r="AA326" i="26"/>
  <c r="AA106" i="26"/>
  <c r="AA981" i="26"/>
  <c r="AA1488" i="26"/>
  <c r="AA1190" i="26"/>
  <c r="AA2353" i="26"/>
  <c r="AA3160" i="26"/>
  <c r="AA1828" i="26"/>
  <c r="AA750" i="26"/>
  <c r="AA2016" i="26"/>
  <c r="AA1644" i="26"/>
  <c r="AA3108" i="26"/>
  <c r="AA1289" i="26"/>
  <c r="D26" i="6"/>
  <c r="C27" i="6" l="1"/>
  <c r="D25" i="6" l="1"/>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<sst xmlns="http://schemas.openxmlformats.org/spreadsheetml/2006/main" count="216" uniqueCount="145">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</sst>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94052864"/>
        <c:axId val="194054400"/>
      </c:lineChart>
      <c:dateAx>
        <c:axId val="194052864"/>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194054400"/>
        <c:crosses val="autoZero"/>
        <c:auto val="1"/>
        <c:lblOffset val="100"/>
        <c:baseTimeUnit val="days"/>
        <c:majorUnit val="1"/>
        <c:majorTimeUnit val="months"/>
        <c:minorUnit val="1"/>
        <c:minorTimeUnit val="years"/>
      </c:dateAx>
      <c:valAx>
        <c:axId val="194054400"/>
        <c:scaling>
          <c:orientation val="minMax"/>
          <c:max val="1E-3"/>
          <c:min val="-2E-3"/>
        </c:scaling>
        <c:delete val="0"/>
        <c:axPos val="l"/>
        <c:majorGridlines/>
        <c:numFmt formatCode="0.00%" sourceLinked="0"/>
        <c:majorTickMark val="out"/>
        <c:minorTickMark val="none"/>
        <c:tickLblPos val="nextTo"/>
        <c:crossAx val="19405286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e">
        <f ca="1">_xll.qlPiecewiseYieldCurve(,D16,ObjectOverwrite,Permanent,NDays,Calendar,_xll.ohPack(Selected!D2:D126),DayCounter,JumpQuotes,JumpDates,Accuracy,TraitsID,InterpolatorID)</f>
        <v>#VALUE!</v>
      </c>
      <c r="E14" s="32"/>
      <c r="F14" s="31"/>
      <c r="H14" s="74"/>
      <c r="I14" s="73" t="s">
        <v>96</v>
      </c>
      <c r="J14" s="75" t="str">
        <f>PROPER(Currency)&amp;"YC"</f>
        <v>EurYC</v>
      </c>
      <c r="K14" s="71"/>
    </row>
    <row r="15" spans="2:11" ht="12.75" x14ac:dyDescent="0.2">
      <c r="B15" s="33"/>
      <c r="C15" s="40" t="s">
        <v>0</v>
      </c>
      <c r="D15" s="49" t="str">
        <f ca="1">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t="e">
        <f ca="1">_xll.qlTermStructureReferenceDate(YieldCurve)</f>
        <v>#NUM!</v>
      </c>
      <c r="D24" s="36" t="e">
        <f ca="1">MAX(_xll.ohPack(Selected!J1:J126))</f>
        <v>#NUM!</v>
      </c>
      <c r="E24" s="32"/>
      <c r="F24" s="31"/>
    </row>
    <row r="25" spans="2:6" x14ac:dyDescent="0.2">
      <c r="B25" s="33"/>
      <c r="C25" s="35" t="e">
        <f ca="1">MAX(_xll.ohPack(Selected!I2:I126))</f>
        <v>#NUM!</v>
      </c>
      <c r="D25" s="34" t="e">
        <f ca="1">MIN(_xll.ohPack(Selected!J1:J126))</f>
        <v>#NUM!</v>
      </c>
      <c r="E25" s="32"/>
      <c r="F25" s="31"/>
    </row>
    <row r="26" spans="2:6" x14ac:dyDescent="0.2">
      <c r="B26" s="33"/>
      <c r="C26" s="96" t="s">
        <v>0</v>
      </c>
      <c r="D26" s="97" t="str">
        <f ca="1">_xll.ohRangeRetrieveError(Selected!J1)</f>
        <v>qlPiecewiseYieldCurveData - ObjectHandler error: attempt to retrieve object with unknown ID ''</v>
      </c>
      <c r="E26" s="32"/>
      <c r="F26" s="31"/>
    </row>
    <row r="27" spans="2:6" x14ac:dyDescent="0.2">
      <c r="B27" s="33"/>
      <c r="C27" s="135" t="str">
        <f>[1]Euribor!$E$8</f>
        <v>EURON#0001</v>
      </c>
      <c r="D27" s="136" t="e">
        <f ca="1">_xll.qlRelinkableHandleLinkTo(C27,YieldCurve)</f>
        <v>#NAME?</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workbookViewId="0">
      <selection activeCell="A5" sqref="A5"/>
    </sheetView>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obj_004ea#0000</v>
      </c>
      <c r="B2" s="23" t="e">
        <f ca="1">_xll.qlRateHelperQuoteName(A2)</f>
        <v>#NAME?</v>
      </c>
      <c r="C2" s="22" t="e">
        <f ca="1">_xll.qlRateHelperQuoteValue($A2,Trigger)</f>
        <v>#NAME?</v>
      </c>
      <c r="D2" s="19" t="b">
        <v>1</v>
      </c>
      <c r="E2" s="19">
        <v>70</v>
      </c>
      <c r="F2" s="19">
        <v>1</v>
      </c>
      <c r="G2" s="176" t="e">
        <f>_xll.qlRateHelperEarliestDate($A2,Trigger)</f>
        <v>#NUM!</v>
      </c>
      <c r="H2" s="177" t="e">
        <f>_xll.qlRateHelperLatestDate($A2,Trigger)</f>
        <v>#NUM!</v>
      </c>
    </row>
    <row r="3" spans="1:8" x14ac:dyDescent="0.2">
      <c r="A3" s="23" t="str">
        <f>Deposits!F4</f>
        <v>obj_004e8#0000</v>
      </c>
      <c r="B3" s="23" t="e">
        <f ca="1">_xll.qlRateHelperQuoteName(A3)</f>
        <v>#NAME?</v>
      </c>
      <c r="C3" s="22" t="e">
        <f ca="1">_xll.qlRateHelperQuoteValue($A3,Trigger)</f>
        <v>#NAME?</v>
      </c>
      <c r="D3" s="19" t="b">
        <v>1</v>
      </c>
      <c r="E3" s="19">
        <v>70</v>
      </c>
      <c r="F3" s="19">
        <v>1</v>
      </c>
      <c r="G3" s="176" t="e">
        <f>_xll.qlRateHelperEarliestDate($A3,Trigger)</f>
        <v>#NUM!</v>
      </c>
      <c r="H3" s="177" t="e">
        <f>_xll.qlRateHelperLatestDate($A3,Trigger)</f>
        <v>#NUM!</v>
      </c>
    </row>
    <row r="4" spans="1:8" x14ac:dyDescent="0.2">
      <c r="A4" s="23" t="str">
        <f>Deposits!F5</f>
        <v>obj_004e9#0000</v>
      </c>
      <c r="B4" s="21" t="e">
        <f ca="1">_xll.qlRateHelperQuoteName(A4)</f>
        <v>#NAME?</v>
      </c>
      <c r="C4" s="20" t="e">
        <f ca="1">_xll.qlRateHelperQuoteValue($A4,Trigger)</f>
        <v>#NAME?</v>
      </c>
      <c r="D4" s="18" t="b">
        <v>0</v>
      </c>
      <c r="E4" s="18">
        <v>70</v>
      </c>
      <c r="F4" s="18">
        <v>1</v>
      </c>
      <c r="G4" s="178" t="e">
        <f>_xll.qlRateHelperEarliestDate($A4,Trigger)</f>
        <v>#NUM!</v>
      </c>
      <c r="H4" s="179" t="e">
        <f>_xll.qlRateHelperLatestDate($A4,Trigger)</f>
        <v>#NUM!</v>
      </c>
    </row>
    <row r="5" spans="1:8" x14ac:dyDescent="0.2">
      <c r="A5" s="26" t="e">
        <f>Swaps!G42</f>
        <v>#VALUE!</v>
      </c>
      <c r="B5" s="26" t="e">
        <f ca="1">_xll.qlRateHelperQuoteName(A5)</f>
        <v>#NAME?</v>
      </c>
      <c r="C5" s="25" t="e">
        <f ca="1">_xll.qlRateHelperQuoteValue($A5,Trigger)</f>
        <v>#NAME?</v>
      </c>
      <c r="D5" s="24" t="b">
        <f ca="1">IF(ISERROR(C5),FALSE,TRUE)</f>
        <v>0</v>
      </c>
      <c r="E5" s="24">
        <v>70</v>
      </c>
      <c r="F5" s="24">
        <v>7</v>
      </c>
      <c r="G5" s="180" t="e">
        <f>_xll.qlRateHelperEarliestDate($A5,Trigger)</f>
        <v>#NUM!</v>
      </c>
      <c r="H5" s="181" t="e">
        <f>_xll.qlRateHelperLatestDate($A5,Trigger)</f>
        <v>#NUM!</v>
      </c>
    </row>
    <row r="6" spans="1:8" x14ac:dyDescent="0.2">
      <c r="A6" s="23" t="e">
        <f>Swaps!G43</f>
        <v>#VALUE!</v>
      </c>
      <c r="B6" s="23" t="e">
        <f ca="1">_xll.qlRateHelperQuoteName(A6)</f>
        <v>#NAME?</v>
      </c>
      <c r="C6" s="22" t="e">
        <f ca="1">_xll.qlRateHelperQuoteValue($A6,Trigger)</f>
        <v>#NAME?</v>
      </c>
      <c r="D6" s="19" t="b">
        <f t="shared" ref="D6:D13" ca="1" si="0">IF(ISERROR(C6),FALSE,TRUE)</f>
        <v>0</v>
      </c>
      <c r="E6" s="19">
        <v>70</v>
      </c>
      <c r="F6" s="19">
        <v>7</v>
      </c>
      <c r="G6" s="176" t="e">
        <f>_xll.qlRateHelperEarliestDate($A6,Trigger)</f>
        <v>#NUM!</v>
      </c>
      <c r="H6" s="177" t="e">
        <f>_xll.qlRateHelperLatestDate($A6,Trigger)</f>
        <v>#NUM!</v>
      </c>
    </row>
    <row r="7" spans="1:8" x14ac:dyDescent="0.2">
      <c r="A7" s="23" t="e">
        <f>Swaps!G44</f>
        <v>#VALUE!</v>
      </c>
      <c r="B7" s="23" t="e">
        <f ca="1">_xll.qlRateHelperQuoteName(A7)</f>
        <v>#NAME?</v>
      </c>
      <c r="C7" s="22" t="e">
        <f ca="1">_xll.qlRateHelperQuoteValue($A7,Trigger)</f>
        <v>#NAME?</v>
      </c>
      <c r="D7" s="19" t="b">
        <f t="shared" ca="1" si="0"/>
        <v>0</v>
      </c>
      <c r="E7" s="19">
        <v>70</v>
      </c>
      <c r="F7" s="19">
        <v>7</v>
      </c>
      <c r="G7" s="176" t="e">
        <f>_xll.qlRateHelperEarliestDate($A7,Trigger)</f>
        <v>#NUM!</v>
      </c>
      <c r="H7" s="177" t="e">
        <f>_xll.qlRateHelperLatestDate($A7,Trigger)</f>
        <v>#NUM!</v>
      </c>
    </row>
    <row r="8" spans="1:8" x14ac:dyDescent="0.2">
      <c r="A8" s="23" t="e">
        <f>Swaps!G45</f>
        <v>#VALUE!</v>
      </c>
      <c r="B8" s="23" t="e">
        <f ca="1">_xll.qlRateHelperQuoteName(A8)</f>
        <v>#NAME?</v>
      </c>
      <c r="C8" s="22" t="e">
        <f ca="1">_xll.qlRateHelperQuoteValue($A8,Trigger)</f>
        <v>#NAME?</v>
      </c>
      <c r="D8" s="19" t="b">
        <f t="shared" ca="1" si="0"/>
        <v>0</v>
      </c>
      <c r="E8" s="19">
        <v>70</v>
      </c>
      <c r="F8" s="19">
        <v>7</v>
      </c>
      <c r="G8" s="176" t="e">
        <f>_xll.qlRateHelperEarliestDate($A8,Trigger)</f>
        <v>#NUM!</v>
      </c>
      <c r="H8" s="177" t="e">
        <f>_xll.qlRateHelperLatestDate($A8,Trigger)</f>
        <v>#NUM!</v>
      </c>
    </row>
    <row r="9" spans="1:8" x14ac:dyDescent="0.2">
      <c r="A9" s="23" t="e">
        <f>Swaps!G46</f>
        <v>#VALUE!</v>
      </c>
      <c r="B9" s="23" t="e">
        <f ca="1">_xll.qlRateHelperQuoteName(A9)</f>
        <v>#NAME?</v>
      </c>
      <c r="C9" s="22" t="e">
        <f ca="1">_xll.qlRateHelperQuoteValue($A9,Trigger)</f>
        <v>#NAME?</v>
      </c>
      <c r="D9" s="19" t="b">
        <f t="shared" ca="1" si="0"/>
        <v>0</v>
      </c>
      <c r="E9" s="19">
        <v>70</v>
      </c>
      <c r="F9" s="19">
        <v>7</v>
      </c>
      <c r="G9" s="176" t="e">
        <f>_xll.qlRateHelperEarliestDate($A9,Trigger)</f>
        <v>#NUM!</v>
      </c>
      <c r="H9" s="177" t="e">
        <f>_xll.qlRateHelperLatestDate($A9,Trigger)</f>
        <v>#NUM!</v>
      </c>
    </row>
    <row r="10" spans="1:8" x14ac:dyDescent="0.2">
      <c r="A10" s="23" t="e">
        <f>Swaps!G47</f>
        <v>#VALUE!</v>
      </c>
      <c r="B10" s="23" t="e">
        <f ca="1">_xll.qlRateHelperQuoteName(A10)</f>
        <v>#NAME?</v>
      </c>
      <c r="C10" s="22" t="e">
        <f ca="1">_xll.qlRateHelperQuoteValue($A10,Trigger)</f>
        <v>#NAME?</v>
      </c>
      <c r="D10" s="19" t="b">
        <f t="shared" ca="1" si="0"/>
        <v>0</v>
      </c>
      <c r="E10" s="19">
        <v>70</v>
      </c>
      <c r="F10" s="19">
        <v>7</v>
      </c>
      <c r="G10" s="176" t="e">
        <f>_xll.qlRateHelperEarliestDate($A10,Trigger)</f>
        <v>#NUM!</v>
      </c>
      <c r="H10" s="177" t="e">
        <f>_xll.qlRateHelperLatestDate($A10,Trigger)</f>
        <v>#NUM!</v>
      </c>
    </row>
    <row r="11" spans="1:8" x14ac:dyDescent="0.2">
      <c r="A11" s="23" t="e">
        <f>Swaps!G48</f>
        <v>#VALUE!</v>
      </c>
      <c r="B11" s="23" t="e">
        <f ca="1">_xll.qlRateHelperQuoteName(A11)</f>
        <v>#NAME?</v>
      </c>
      <c r="C11" s="22" t="e">
        <f ca="1">_xll.qlRateHelperQuoteValue($A11,Trigger)</f>
        <v>#NAME?</v>
      </c>
      <c r="D11" s="19" t="b">
        <f t="shared" ca="1" si="0"/>
        <v>0</v>
      </c>
      <c r="E11" s="19">
        <v>70</v>
      </c>
      <c r="F11" s="19">
        <v>7</v>
      </c>
      <c r="G11" s="176" t="e">
        <f>_xll.qlRateHelperEarliestDate($A11,Trigger)</f>
        <v>#NUM!</v>
      </c>
      <c r="H11" s="177" t="e">
        <f>_xll.qlRateHelperLatestDate($A11,Trigger)</f>
        <v>#NUM!</v>
      </c>
    </row>
    <row r="12" spans="1:8" x14ac:dyDescent="0.2">
      <c r="A12" s="23" t="e">
        <f>Swaps!G49</f>
        <v>#VALUE!</v>
      </c>
      <c r="B12" s="23" t="e">
        <f ca="1">_xll.qlRateHelperQuoteName(A12)</f>
        <v>#NAME?</v>
      </c>
      <c r="C12" s="22" t="e">
        <f ca="1">_xll.qlRateHelperQuoteValue($A12,Trigger)</f>
        <v>#NAME?</v>
      </c>
      <c r="D12" s="19" t="b">
        <f t="shared" ca="1" si="0"/>
        <v>0</v>
      </c>
      <c r="E12" s="19">
        <v>70</v>
      </c>
      <c r="F12" s="19">
        <v>7</v>
      </c>
      <c r="G12" s="176" t="e">
        <f>_xll.qlRateHelperEarliestDate($A12,Trigger)</f>
        <v>#NUM!</v>
      </c>
      <c r="H12" s="177" t="e">
        <f>_xll.qlRateHelperLatestDate($A12,Trigger)</f>
        <v>#NUM!</v>
      </c>
    </row>
    <row r="13" spans="1:8" x14ac:dyDescent="0.2">
      <c r="A13" s="21" t="e">
        <f>Swaps!G50</f>
        <v>#VALUE!</v>
      </c>
      <c r="B13" s="21" t="e">
        <f ca="1">_xll.qlRateHelperQuoteName(A13)</f>
        <v>#NAME?</v>
      </c>
      <c r="C13" s="20" t="e">
        <f ca="1">_xll.qlRateHelperQuoteValue($A13,Trigger)</f>
        <v>#NAME?</v>
      </c>
      <c r="D13" s="18" t="b">
        <f t="shared" ca="1" si="0"/>
        <v>0</v>
      </c>
      <c r="E13" s="18">
        <v>70</v>
      </c>
      <c r="F13" s="18">
        <v>7</v>
      </c>
      <c r="G13" s="178" t="e">
        <f>_xll.qlRateHelperEarliestDate($A13,Trigger)</f>
        <v>#NUM!</v>
      </c>
      <c r="H13" s="179" t="e">
        <f>_xll.qlRateHelperLatestDate($A13,Trigger)</f>
        <v>#NUM!</v>
      </c>
    </row>
    <row r="14" spans="1:8" x14ac:dyDescent="0.2">
      <c r="A14" s="23" t="e">
        <f>'IMM Eonia'!J3</f>
        <v>#VALUE!</v>
      </c>
      <c r="B14" s="23" t="e">
        <f ca="1">_xll.qlRateHelperQuoteName(A14)</f>
        <v>#NAME?</v>
      </c>
      <c r="C14" s="263" t="e">
        <f ca="1">_xll.qlRateHelperQuoteValue($A14,Trigger)</f>
        <v>#NAME?</v>
      </c>
      <c r="D14" s="19" t="b">
        <v>0</v>
      </c>
      <c r="E14" s="19">
        <v>70</v>
      </c>
      <c r="F14" s="19">
        <v>7</v>
      </c>
      <c r="G14" s="176" t="e">
        <f>_xll.qlRateHelperEarliestDate($A14,Trigger)</f>
        <v>#NUM!</v>
      </c>
      <c r="H14" s="177" t="e">
        <f>_xll.qlRateHelperLatestDate($A14,Trigger)</f>
        <v>#NUM!</v>
      </c>
    </row>
    <row r="15" spans="1:8" x14ac:dyDescent="0.2">
      <c r="A15" s="23" t="e">
        <f>'IMM Eonia'!J4</f>
        <v>#VALUE!</v>
      </c>
      <c r="B15" s="23" t="e">
        <f ca="1">_xll.qlRateHelperQuoteName(A15)</f>
        <v>#NAME?</v>
      </c>
      <c r="C15" s="263" t="e">
        <f ca="1">_xll.qlRateHelperQuoteValue($A15,Trigger)</f>
        <v>#NAME?</v>
      </c>
      <c r="D15" s="19" t="b">
        <v>0</v>
      </c>
      <c r="E15" s="19">
        <v>60</v>
      </c>
      <c r="F15" s="19">
        <v>7</v>
      </c>
      <c r="G15" s="176" t="e">
        <f>_xll.qlRateHelperEarliestDate($A15,Trigger)</f>
        <v>#NUM!</v>
      </c>
      <c r="H15" s="177" t="e">
        <f>_xll.qlRateHelperLatestDate($A15,Trigger)</f>
        <v>#NUM!</v>
      </c>
    </row>
    <row r="16" spans="1:8" x14ac:dyDescent="0.2">
      <c r="A16" s="23" t="e">
        <f>'IMM Eonia'!J5</f>
        <v>#VALUE!</v>
      </c>
      <c r="B16" s="23" t="e">
        <f ca="1">_xll.qlRateHelperQuoteName(A16)</f>
        <v>#NAME?</v>
      </c>
      <c r="C16" s="263" t="e">
        <f ca="1">_xll.qlRateHelperQuoteValue($A16,Trigger)</f>
        <v>#NAME?</v>
      </c>
      <c r="D16" s="19" t="b">
        <v>0</v>
      </c>
      <c r="E16" s="19">
        <v>60</v>
      </c>
      <c r="F16" s="19">
        <v>7</v>
      </c>
      <c r="G16" s="176" t="e">
        <f>_xll.qlRateHelperEarliestDate($A16,Trigger)</f>
        <v>#NUM!</v>
      </c>
      <c r="H16" s="177" t="e">
        <f>_xll.qlRateHelperLatestDate($A16,Trigger)</f>
        <v>#NUM!</v>
      </c>
    </row>
    <row r="17" spans="1:8" x14ac:dyDescent="0.2">
      <c r="A17" s="23" t="e">
        <f>'IMM Eonia'!J6</f>
        <v>#VALUE!</v>
      </c>
      <c r="B17" s="23" t="e">
        <f ca="1">_xll.qlRateHelperQuoteName(A17)</f>
        <v>#NAME?</v>
      </c>
      <c r="C17" s="263" t="e">
        <f ca="1">_xll.qlRateHelperQuoteValue($A17,Trigger)</f>
        <v>#NAME?</v>
      </c>
      <c r="D17" s="19" t="b">
        <v>0</v>
      </c>
      <c r="E17" s="19">
        <v>50</v>
      </c>
      <c r="F17" s="19">
        <v>7</v>
      </c>
      <c r="G17" s="176" t="e">
        <f>_xll.qlRateHelperEarliestDate($A17,Trigger)</f>
        <v>#NUM!</v>
      </c>
      <c r="H17" s="177" t="e">
        <f>_xll.qlRateHelperLatestDate($A17,Trigger)</f>
        <v>#NUM!</v>
      </c>
    </row>
    <row r="18" spans="1:8" x14ac:dyDescent="0.2">
      <c r="A18" s="23" t="e">
        <f>'IMM Eonia'!J7</f>
        <v>#VALUE!</v>
      </c>
      <c r="B18" s="23" t="e">
        <f ca="1">_xll.qlRateHelperQuoteName(A18)</f>
        <v>#NAME?</v>
      </c>
      <c r="C18" s="263" t="e">
        <f ca="1">_xll.qlRateHelperQuoteValue($A18,Trigger)</f>
        <v>#NAME?</v>
      </c>
      <c r="D18" s="19" t="b">
        <v>0</v>
      </c>
      <c r="E18" s="19">
        <v>50</v>
      </c>
      <c r="F18" s="19">
        <v>7</v>
      </c>
      <c r="G18" s="176" t="e">
        <f>_xll.qlRateHelperEarliestDate($A18,Trigger)</f>
        <v>#NUM!</v>
      </c>
      <c r="H18" s="177" t="e">
        <f>_xll.qlRateHelperLatestDate($A18,Trigger)</f>
        <v>#NUM!</v>
      </c>
    </row>
    <row r="19" spans="1:8" x14ac:dyDescent="0.2">
      <c r="A19" s="26" t="e">
        <f>Swaps!G5</f>
        <v>#VALUE!</v>
      </c>
      <c r="B19" s="26" t="e">
        <f ca="1">_xll.qlRateHelperQuoteName(A19)</f>
        <v>#NAME?</v>
      </c>
      <c r="C19" s="25" t="e">
        <f ca="1">_xll.qlRateHelperQuoteValue($A19,Trigger)</f>
        <v>#NAME?</v>
      </c>
      <c r="D19" s="24" t="b">
        <v>1</v>
      </c>
      <c r="E19" s="24">
        <v>50</v>
      </c>
      <c r="F19" s="24">
        <v>1</v>
      </c>
      <c r="G19" s="180" t="e">
        <f>_xll.qlRateHelperEarliestDate($A19,Trigger)</f>
        <v>#NUM!</v>
      </c>
      <c r="H19" s="181" t="e">
        <f>_xll.qlRateHelperLatestDate($A19,Trigger)</f>
        <v>#NUM!</v>
      </c>
    </row>
    <row r="20" spans="1:8" x14ac:dyDescent="0.2">
      <c r="A20" s="23" t="e">
        <f>Swaps!G6</f>
        <v>#VALUE!</v>
      </c>
      <c r="B20" s="23" t="e">
        <f ca="1">_xll.qlRateHelperQuoteName(A20)</f>
        <v>#NAME?</v>
      </c>
      <c r="C20" s="22" t="e">
        <f ca="1">_xll.qlRateHelperQuoteValue($A20,Trigger)</f>
        <v>#NAME?</v>
      </c>
      <c r="D20" s="19" t="b">
        <v>1</v>
      </c>
      <c r="E20" s="19">
        <v>50</v>
      </c>
      <c r="F20" s="19">
        <v>1</v>
      </c>
      <c r="G20" s="176" t="e">
        <f>_xll.qlRateHelperEarliestDate($A20,Trigger)</f>
        <v>#NUM!</v>
      </c>
      <c r="H20" s="177" t="e">
        <f>_xll.qlRateHelperLatestDate($A20,Trigger)</f>
        <v>#NUM!</v>
      </c>
    </row>
    <row r="21" spans="1:8" x14ac:dyDescent="0.2">
      <c r="A21" s="23" t="e">
        <f>Swaps!G7</f>
        <v>#VALUE!</v>
      </c>
      <c r="B21" s="23" t="e">
        <f ca="1">_xll.qlRateHelperQuoteName(A21)</f>
        <v>#NAME?</v>
      </c>
      <c r="C21" s="22" t="e">
        <f ca="1">_xll.qlRateHelperQuoteValue($A21,Trigger)</f>
        <v>#NAME?</v>
      </c>
      <c r="D21" s="19" t="b">
        <v>1</v>
      </c>
      <c r="E21" s="19">
        <v>50</v>
      </c>
      <c r="F21" s="19">
        <v>1</v>
      </c>
      <c r="G21" s="176" t="e">
        <f>_xll.qlRateHelperEarliestDate($A21,Trigger)</f>
        <v>#NUM!</v>
      </c>
      <c r="H21" s="177" t="e">
        <f>_xll.qlRateHelperLatestDate($A21,Trigger)</f>
        <v>#NUM!</v>
      </c>
    </row>
    <row r="22" spans="1:8" x14ac:dyDescent="0.2">
      <c r="A22" s="23" t="e">
        <f>Swaps!G8</f>
        <v>#VALUE!</v>
      </c>
      <c r="B22" s="23" t="e">
        <f ca="1">_xll.qlRateHelperQuoteName(A22)</f>
        <v>#NAME?</v>
      </c>
      <c r="C22" s="22" t="e">
        <f ca="1">_xll.qlRateHelperQuoteValue($A22,Trigger)</f>
        <v>#NAME?</v>
      </c>
      <c r="D22" s="19" t="b">
        <v>1</v>
      </c>
      <c r="E22" s="19">
        <v>50</v>
      </c>
      <c r="F22" s="19">
        <v>1</v>
      </c>
      <c r="G22" s="176" t="e">
        <f>_xll.qlRateHelperEarliestDate($A22,Trigger)</f>
        <v>#NUM!</v>
      </c>
      <c r="H22" s="177" t="e">
        <f>_xll.qlRateHelperLatestDate($A22,Trigger)</f>
        <v>#NUM!</v>
      </c>
    </row>
    <row r="23" spans="1:8" x14ac:dyDescent="0.2">
      <c r="A23" s="23" t="e">
        <f>Swaps!G9</f>
        <v>#VALUE!</v>
      </c>
      <c r="B23" s="23" t="e">
        <f ca="1">_xll.qlRateHelperQuoteName(A23)</f>
        <v>#NAME?</v>
      </c>
      <c r="C23" s="22" t="e">
        <f ca="1">_xll.qlRateHelperQuoteValue($A23,Trigger)</f>
        <v>#NAME?</v>
      </c>
      <c r="D23" s="19" t="b">
        <v>1</v>
      </c>
      <c r="E23" s="19">
        <v>50</v>
      </c>
      <c r="F23" s="19">
        <v>1</v>
      </c>
      <c r="G23" s="176" t="e">
        <f>_xll.qlRateHelperEarliestDate($A23,Trigger)</f>
        <v>#NUM!</v>
      </c>
      <c r="H23" s="177" t="e">
        <f>_xll.qlRateHelperLatestDate($A23,Trigger)</f>
        <v>#NUM!</v>
      </c>
    </row>
    <row r="24" spans="1:8" x14ac:dyDescent="0.2">
      <c r="A24" s="23" t="e">
        <f>Swaps!G10</f>
        <v>#VALUE!</v>
      </c>
      <c r="B24" s="23" t="e">
        <f ca="1">_xll.qlRateHelperQuoteName(A24)</f>
        <v>#NAME?</v>
      </c>
      <c r="C24" s="22" t="e">
        <f ca="1">_xll.qlRateHelperQuoteValue($A24,Trigger)</f>
        <v>#NAME?</v>
      </c>
      <c r="D24" s="19" t="b">
        <v>0</v>
      </c>
      <c r="E24" s="19">
        <v>50</v>
      </c>
      <c r="F24" s="19">
        <v>1</v>
      </c>
      <c r="G24" s="176" t="e">
        <f>_xll.qlRateHelperEarliestDate($A24,Trigger)</f>
        <v>#NUM!</v>
      </c>
      <c r="H24" s="177" t="e">
        <f>_xll.qlRateHelperLatestDate($A24,Trigger)</f>
        <v>#NUM!</v>
      </c>
    </row>
    <row r="25" spans="1:8" x14ac:dyDescent="0.2">
      <c r="A25" s="23" t="e">
        <f>Swaps!G11</f>
        <v>#VALUE!</v>
      </c>
      <c r="B25" s="23" t="e">
        <f ca="1">_xll.qlRateHelperQuoteName(A25)</f>
        <v>#NAME?</v>
      </c>
      <c r="C25" s="22" t="e">
        <f ca="1">_xll.qlRateHelperQuoteValue($A25,Trigger)</f>
        <v>#NAME?</v>
      </c>
      <c r="D25" s="19" t="b">
        <v>0</v>
      </c>
      <c r="E25" s="19">
        <v>50</v>
      </c>
      <c r="F25" s="19">
        <v>1</v>
      </c>
      <c r="G25" s="176" t="e">
        <f>_xll.qlRateHelperEarliestDate($A25,Trigger)</f>
        <v>#NUM!</v>
      </c>
      <c r="H25" s="177" t="e">
        <f>_xll.qlRateHelperLatestDate($A25,Trigger)</f>
        <v>#NUM!</v>
      </c>
    </row>
    <row r="26" spans="1:8" x14ac:dyDescent="0.2">
      <c r="A26" s="23" t="e">
        <f>Swaps!G12</f>
        <v>#VALUE!</v>
      </c>
      <c r="B26" s="23" t="e">
        <f ca="1">_xll.qlRateHelperQuoteName(A26)</f>
        <v>#NAME?</v>
      </c>
      <c r="C26" s="22" t="e">
        <f ca="1">_xll.qlRateHelperQuoteValue($A26,Trigger)</f>
        <v>#NAME?</v>
      </c>
      <c r="D26" s="19" t="b">
        <v>0</v>
      </c>
      <c r="E26" s="19">
        <v>50</v>
      </c>
      <c r="F26" s="19">
        <v>1</v>
      </c>
      <c r="G26" s="176" t="e">
        <f>_xll.qlRateHelperEarliestDate($A26,Trigger)</f>
        <v>#NUM!</v>
      </c>
      <c r="H26" s="177" t="e">
        <f>_xll.qlRateHelperLatestDate($A26,Trigger)</f>
        <v>#NUM!</v>
      </c>
    </row>
    <row r="27" spans="1:8" x14ac:dyDescent="0.2">
      <c r="A27" s="23" t="e">
        <f>Swaps!G13</f>
        <v>#VALUE!</v>
      </c>
      <c r="B27" s="23" t="e">
        <f ca="1">_xll.qlRateHelperQuoteName(A27)</f>
        <v>#NAME?</v>
      </c>
      <c r="C27" s="22" t="e">
        <f ca="1">_xll.qlRateHelperQuoteValue($A27,Trigger)</f>
        <v>#NAME?</v>
      </c>
      <c r="D27" s="19" t="b">
        <v>0</v>
      </c>
      <c r="E27" s="19">
        <v>50</v>
      </c>
      <c r="F27" s="19">
        <v>1</v>
      </c>
      <c r="G27" s="176" t="e">
        <f>_xll.qlRateHelperEarliestDate($A27,Trigger)</f>
        <v>#NUM!</v>
      </c>
      <c r="H27" s="177" t="e">
        <f>_xll.qlRateHelperLatestDate($A27,Trigger)</f>
        <v>#NUM!</v>
      </c>
    </row>
    <row r="28" spans="1:8" x14ac:dyDescent="0.2">
      <c r="A28" s="23" t="e">
        <f>Swaps!G14</f>
        <v>#VALUE!</v>
      </c>
      <c r="B28" s="23" t="e">
        <f ca="1">_xll.qlRateHelperQuoteName(A28)</f>
        <v>#NAME?</v>
      </c>
      <c r="C28" s="22" t="e">
        <f ca="1">_xll.qlRateHelperQuoteValue($A28,Trigger)</f>
        <v>#NAME?</v>
      </c>
      <c r="D28" s="19" t="b">
        <v>0</v>
      </c>
      <c r="E28" s="19">
        <v>50</v>
      </c>
      <c r="F28" s="19">
        <v>1</v>
      </c>
      <c r="G28" s="176" t="e">
        <f>_xll.qlRateHelperEarliestDate($A28,Trigger)</f>
        <v>#NUM!</v>
      </c>
      <c r="H28" s="177" t="e">
        <f>_xll.qlRateHelperLatestDate($A28,Trigger)</f>
        <v>#NUM!</v>
      </c>
    </row>
    <row r="29" spans="1:8" x14ac:dyDescent="0.2">
      <c r="A29" s="23" t="e">
        <f>Swaps!G15</f>
        <v>#VALUE!</v>
      </c>
      <c r="B29" s="23" t="e">
        <f ca="1">_xll.qlRateHelperQuoteName(A29)</f>
        <v>#NAME?</v>
      </c>
      <c r="C29" s="22" t="e">
        <f ca="1">_xll.qlRateHelperQuoteValue($A29,Trigger)</f>
        <v>#NAME?</v>
      </c>
      <c r="D29" s="19" t="b">
        <v>0</v>
      </c>
      <c r="E29" s="19">
        <v>50</v>
      </c>
      <c r="F29" s="19">
        <v>1</v>
      </c>
      <c r="G29" s="176" t="e">
        <f>_xll.qlRateHelperEarliestDate($A29,Trigger)</f>
        <v>#NUM!</v>
      </c>
      <c r="H29" s="177" t="e">
        <f>_xll.qlRateHelperLatestDate($A29,Trigger)</f>
        <v>#NUM!</v>
      </c>
    </row>
    <row r="30" spans="1:8" x14ac:dyDescent="0.2">
      <c r="A30" s="23" t="e">
        <f>Swaps!G16</f>
        <v>#VALUE!</v>
      </c>
      <c r="B30" s="23" t="e">
        <f ca="1">_xll.qlRateHelperQuoteName(A30)</f>
        <v>#NAME?</v>
      </c>
      <c r="C30" s="22" t="e">
        <f ca="1">_xll.qlRateHelperQuoteValue($A30,Trigger)</f>
        <v>#NAME?</v>
      </c>
      <c r="D30" s="19" t="b">
        <v>0</v>
      </c>
      <c r="E30" s="19">
        <v>50</v>
      </c>
      <c r="F30" s="19">
        <v>1</v>
      </c>
      <c r="G30" s="176" t="e">
        <f>_xll.qlRateHelperEarliestDate($A30,Trigger)</f>
        <v>#NUM!</v>
      </c>
      <c r="H30" s="177" t="e">
        <f>_xll.qlRateHelperLatestDate($A30,Trigger)</f>
        <v>#NUM!</v>
      </c>
    </row>
    <row r="31" spans="1:8" x14ac:dyDescent="0.2">
      <c r="A31" s="23" t="e">
        <f>Swaps!G17</f>
        <v>#VALUE!</v>
      </c>
      <c r="B31" s="23" t="e">
        <f ca="1">_xll.qlRateHelperQuoteName(A31)</f>
        <v>#NAME?</v>
      </c>
      <c r="C31" s="22" t="e">
        <f ca="1">_xll.qlRateHelperQuoteValue($A31,Trigger)</f>
        <v>#NAME?</v>
      </c>
      <c r="D31" s="19" t="b">
        <v>0</v>
      </c>
      <c r="E31" s="19">
        <v>50</v>
      </c>
      <c r="F31" s="19">
        <v>1</v>
      </c>
      <c r="G31" s="176" t="e">
        <f>_xll.qlRateHelperEarliestDate($A31,Trigger)</f>
        <v>#NUM!</v>
      </c>
      <c r="H31" s="177" t="e">
        <f>_xll.qlRateHelperLatestDate($A31,Trigger)</f>
        <v>#NUM!</v>
      </c>
    </row>
    <row r="32" spans="1:8" x14ac:dyDescent="0.2">
      <c r="A32" s="23" t="e">
        <f>Swaps!G18</f>
        <v>#VALUE!</v>
      </c>
      <c r="B32" s="23" t="e">
        <f ca="1">_xll.qlRateHelperQuoteName(A32)</f>
        <v>#NAME?</v>
      </c>
      <c r="C32" s="22" t="e">
        <f ca="1">_xll.qlRateHelperQuoteValue($A32,Trigger)</f>
        <v>#NAME?</v>
      </c>
      <c r="D32" s="19" t="b">
        <v>0</v>
      </c>
      <c r="E32" s="19">
        <v>50</v>
      </c>
      <c r="F32" s="19">
        <v>1</v>
      </c>
      <c r="G32" s="176" t="e">
        <f>_xll.qlRateHelperEarliestDate($A32,Trigger)</f>
        <v>#NUM!</v>
      </c>
      <c r="H32" s="177" t="e">
        <f>_xll.qlRateHelperLatestDate($A32,Trigger)</f>
        <v>#NUM!</v>
      </c>
    </row>
    <row r="33" spans="1:8" x14ac:dyDescent="0.2">
      <c r="A33" s="23" t="e">
        <f>Swaps!G19</f>
        <v>#VALUE!</v>
      </c>
      <c r="B33" s="23" t="e">
        <f ca="1">_xll.qlRateHelperQuoteName(A33)</f>
        <v>#NAME?</v>
      </c>
      <c r="C33" s="22" t="e">
        <f ca="1">_xll.qlRateHelperQuoteValue($A33,Trigger)</f>
        <v>#NAME?</v>
      </c>
      <c r="D33" s="19" t="b">
        <v>0</v>
      </c>
      <c r="E33" s="19">
        <v>50</v>
      </c>
      <c r="F33" s="19">
        <v>1</v>
      </c>
      <c r="G33" s="176" t="e">
        <f>_xll.qlRateHelperEarliestDate($A33,Trigger)</f>
        <v>#NUM!</v>
      </c>
      <c r="H33" s="177" t="e">
        <f>_xll.qlRateHelperLatestDate($A33,Trigger)</f>
        <v>#NUM!</v>
      </c>
    </row>
    <row r="34" spans="1:8" x14ac:dyDescent="0.2">
      <c r="A34" s="23" t="e">
        <f>Swaps!G20</f>
        <v>#VALUE!</v>
      </c>
      <c r="B34" s="23" t="e">
        <f ca="1">_xll.qlRateHelperQuoteName(A34)</f>
        <v>#NAME?</v>
      </c>
      <c r="C34" s="22" t="e">
        <f ca="1">_xll.qlRateHelperQuoteValue($A34,Trigger)</f>
        <v>#NAME?</v>
      </c>
      <c r="D34" s="19" t="b">
        <v>1</v>
      </c>
      <c r="E34" s="19">
        <v>50</v>
      </c>
      <c r="F34" s="19">
        <v>1</v>
      </c>
      <c r="G34" s="176" t="e">
        <f>_xll.qlRateHelperEarliestDate($A34,Trigger)</f>
        <v>#NUM!</v>
      </c>
      <c r="H34" s="177" t="e">
        <f>_xll.qlRateHelperLatestDate($A34,Trigger)</f>
        <v>#NUM!</v>
      </c>
    </row>
    <row r="35" spans="1:8" x14ac:dyDescent="0.2">
      <c r="A35" s="23" t="e">
        <f>Swaps!G21</f>
        <v>#VALUE!</v>
      </c>
      <c r="B35" s="23" t="e">
        <f ca="1">_xll.qlRateHelperQuoteName(A35)</f>
        <v>#NAME?</v>
      </c>
      <c r="C35" s="22" t="e">
        <f ca="1">_xll.qlRateHelperQuoteValue($A35,Trigger)</f>
        <v>#NAME?</v>
      </c>
      <c r="D35" s="19" t="b">
        <v>1</v>
      </c>
      <c r="E35" s="19">
        <v>50</v>
      </c>
      <c r="F35" s="19">
        <v>1</v>
      </c>
      <c r="G35" s="176" t="e">
        <f>_xll.qlRateHelperEarliestDate($A35,Trigger)</f>
        <v>#NUM!</v>
      </c>
      <c r="H35" s="177" t="e">
        <f>_xll.qlRateHelperLatestDate($A35,Trigger)</f>
        <v>#NUM!</v>
      </c>
    </row>
    <row r="36" spans="1:8" x14ac:dyDescent="0.2">
      <c r="A36" s="23" t="e">
        <f>Swaps!G22</f>
        <v>#VALUE!</v>
      </c>
      <c r="B36" s="23" t="e">
        <f ca="1">_xll.qlRateHelperQuoteName(A36)</f>
        <v>#NAME?</v>
      </c>
      <c r="C36" s="22" t="e">
        <f ca="1">_xll.qlRateHelperQuoteValue($A36,Trigger)</f>
        <v>#NAME?</v>
      </c>
      <c r="D36" s="19" t="b">
        <v>1</v>
      </c>
      <c r="E36" s="19">
        <v>50</v>
      </c>
      <c r="F36" s="19">
        <v>1</v>
      </c>
      <c r="G36" s="176" t="e">
        <f>_xll.qlRateHelperEarliestDate($A36,Trigger)</f>
        <v>#NUM!</v>
      </c>
      <c r="H36" s="177" t="e">
        <f>_xll.qlRateHelperLatestDate($A36,Trigger)</f>
        <v>#NUM!</v>
      </c>
    </row>
    <row r="37" spans="1:8" x14ac:dyDescent="0.2">
      <c r="A37" s="23" t="e">
        <f>Swaps!G23</f>
        <v>#VALUE!</v>
      </c>
      <c r="B37" s="23" t="e">
        <f ca="1">_xll.qlRateHelperQuoteName(A37)</f>
        <v>#NAME?</v>
      </c>
      <c r="C37" s="22" t="e">
        <f ca="1">_xll.qlRateHelperQuoteValue($A37,Trigger)</f>
        <v>#NAME?</v>
      </c>
      <c r="D37" s="19" t="b">
        <v>1</v>
      </c>
      <c r="E37" s="19">
        <v>50</v>
      </c>
      <c r="F37" s="19">
        <v>1</v>
      </c>
      <c r="G37" s="176" t="e">
        <f>_xll.qlRateHelperEarliestDate($A37,Trigger)</f>
        <v>#NUM!</v>
      </c>
      <c r="H37" s="177" t="e">
        <f>_xll.qlRateHelperLatestDate($A37,Trigger)</f>
        <v>#NUM!</v>
      </c>
    </row>
    <row r="38" spans="1:8" x14ac:dyDescent="0.2">
      <c r="A38" s="23" t="e">
        <f>Swaps!G24</f>
        <v>#VALUE!</v>
      </c>
      <c r="B38" s="23" t="e">
        <f ca="1">_xll.qlRateHelperQuoteName(A38)</f>
        <v>#NAME?</v>
      </c>
      <c r="C38" s="22" t="e">
        <f ca="1">_xll.qlRateHelperQuoteValue($A38,Trigger)</f>
        <v>#NAME?</v>
      </c>
      <c r="D38" s="19" t="b">
        <v>1</v>
      </c>
      <c r="E38" s="19">
        <v>50</v>
      </c>
      <c r="F38" s="19">
        <v>1</v>
      </c>
      <c r="G38" s="176" t="e">
        <f>_xll.qlRateHelperEarliestDate($A38,Trigger)</f>
        <v>#NUM!</v>
      </c>
      <c r="H38" s="177" t="e">
        <f>_xll.qlRateHelperLatestDate($A38,Trigger)</f>
        <v>#NUM!</v>
      </c>
    </row>
    <row r="39" spans="1:8" x14ac:dyDescent="0.2">
      <c r="A39" s="23" t="e">
        <f>Swaps!G25</f>
        <v>#VALUE!</v>
      </c>
      <c r="B39" s="23" t="e">
        <f ca="1">_xll.qlRateHelperQuoteName(A39)</f>
        <v>#NAME?</v>
      </c>
      <c r="C39" s="22" t="e">
        <f ca="1">_xll.qlRateHelperQuoteValue($A39,Trigger)</f>
        <v>#NAME?</v>
      </c>
      <c r="D39" s="19" t="b">
        <v>1</v>
      </c>
      <c r="E39" s="19">
        <v>50</v>
      </c>
      <c r="F39" s="19">
        <v>1</v>
      </c>
      <c r="G39" s="176" t="e">
        <f>_xll.qlRateHelperEarliestDate($A39,Trigger)</f>
        <v>#NUM!</v>
      </c>
      <c r="H39" s="177" t="e">
        <f>_xll.qlRateHelperLatestDate($A39,Trigger)</f>
        <v>#NUM!</v>
      </c>
    </row>
    <row r="40" spans="1:8" x14ac:dyDescent="0.2">
      <c r="A40" s="23" t="e">
        <f>Swaps!G26</f>
        <v>#VALUE!</v>
      </c>
      <c r="B40" s="23" t="e">
        <f ca="1">_xll.qlRateHelperQuoteName(A40)</f>
        <v>#NAME?</v>
      </c>
      <c r="C40" s="22" t="e">
        <f ca="1">_xll.qlRateHelperQuoteValue($A40,Trigger)</f>
        <v>#NAME?</v>
      </c>
      <c r="D40" s="19" t="b">
        <v>1</v>
      </c>
      <c r="E40" s="19">
        <v>50</v>
      </c>
      <c r="F40" s="19">
        <v>1</v>
      </c>
      <c r="G40" s="176" t="e">
        <f>_xll.qlRateHelperEarliestDate($A40,Trigger)</f>
        <v>#NUM!</v>
      </c>
      <c r="H40" s="177" t="e">
        <f>_xll.qlRateHelperLatestDate($A40,Trigger)</f>
        <v>#NUM!</v>
      </c>
    </row>
    <row r="41" spans="1:8" x14ac:dyDescent="0.2">
      <c r="A41" s="23" t="e">
        <f>Swaps!G27</f>
        <v>#VALUE!</v>
      </c>
      <c r="B41" s="23" t="e">
        <f ca="1">_xll.qlRateHelperQuoteName(A41)</f>
        <v>#NAME?</v>
      </c>
      <c r="C41" s="22" t="e">
        <f ca="1">_xll.qlRateHelperQuoteValue($A41,Trigger)</f>
        <v>#NAME?</v>
      </c>
      <c r="D41" s="19" t="b">
        <v>1</v>
      </c>
      <c r="E41" s="19">
        <v>50</v>
      </c>
      <c r="F41" s="19">
        <v>1</v>
      </c>
      <c r="G41" s="176" t="e">
        <f>_xll.qlRateHelperEarliestDate($A41,Trigger)</f>
        <v>#NUM!</v>
      </c>
      <c r="H41" s="177" t="e">
        <f>_xll.qlRateHelperLatestDate($A41,Trigger)</f>
        <v>#NUM!</v>
      </c>
    </row>
    <row r="42" spans="1:8" x14ac:dyDescent="0.2">
      <c r="A42" s="23" t="e">
        <f>Swaps!G28</f>
        <v>#VALUE!</v>
      </c>
      <c r="B42" s="23" t="e">
        <f ca="1">_xll.qlRateHelperQuoteName(A42)</f>
        <v>#NAME?</v>
      </c>
      <c r="C42" s="22" t="e">
        <f ca="1">_xll.qlRateHelperQuoteValue($A42,Trigger)</f>
        <v>#NAME?</v>
      </c>
      <c r="D42" s="19" t="b">
        <v>1</v>
      </c>
      <c r="E42" s="19">
        <v>50</v>
      </c>
      <c r="F42" s="19">
        <v>1</v>
      </c>
      <c r="G42" s="176" t="e">
        <f>_xll.qlRateHelperEarliestDate($A42,Trigger)</f>
        <v>#NUM!</v>
      </c>
      <c r="H42" s="177" t="e">
        <f>_xll.qlRateHelperLatestDate($A42,Trigger)</f>
        <v>#NUM!</v>
      </c>
    </row>
    <row r="43" spans="1:8" x14ac:dyDescent="0.2">
      <c r="A43" s="23" t="e">
        <f>Swaps!G29</f>
        <v>#VALUE!</v>
      </c>
      <c r="B43" s="23" t="e">
        <f ca="1">_xll.qlRateHelperQuoteName(A43)</f>
        <v>#NAME?</v>
      </c>
      <c r="C43" s="22" t="e">
        <f ca="1">_xll.qlRateHelperQuoteValue($A43,Trigger)</f>
        <v>#NAME?</v>
      </c>
      <c r="D43" s="19" t="b">
        <v>1</v>
      </c>
      <c r="E43" s="19">
        <v>50</v>
      </c>
      <c r="F43" s="19">
        <v>1</v>
      </c>
      <c r="G43" s="176" t="e">
        <f>_xll.qlRateHelperEarliestDate($A43,Trigger)</f>
        <v>#NUM!</v>
      </c>
      <c r="H43" s="177" t="e">
        <f>_xll.qlRateHelperLatestDate($A43,Trigger)</f>
        <v>#NUM!</v>
      </c>
    </row>
    <row r="44" spans="1:8" x14ac:dyDescent="0.2">
      <c r="A44" s="23" t="e">
        <f>Swaps!G30</f>
        <v>#VALUE!</v>
      </c>
      <c r="B44" s="23" t="e">
        <f ca="1">_xll.qlRateHelperQuoteName(A44)</f>
        <v>#NAME?</v>
      </c>
      <c r="C44" s="22" t="e">
        <f ca="1">_xll.qlRateHelperQuoteValue($A44,Trigger)</f>
        <v>#NAME?</v>
      </c>
      <c r="D44" s="19" t="b">
        <v>1</v>
      </c>
      <c r="E44" s="19">
        <v>50</v>
      </c>
      <c r="F44" s="19">
        <v>1</v>
      </c>
      <c r="G44" s="176" t="e">
        <f>_xll.qlRateHelperEarliestDate($A44,Trigger)</f>
        <v>#NUM!</v>
      </c>
      <c r="H44" s="177" t="e">
        <f>_xll.qlRateHelperLatestDate($A44,Trigger)</f>
        <v>#NUM!</v>
      </c>
    </row>
    <row r="45" spans="1:8" x14ac:dyDescent="0.2">
      <c r="A45" s="23" t="e">
        <f>Swaps!G31</f>
        <v>#VALUE!</v>
      </c>
      <c r="B45" s="23" t="e">
        <f ca="1">_xll.qlRateHelperQuoteName(A45)</f>
        <v>#NAME?</v>
      </c>
      <c r="C45" s="22" t="e">
        <f ca="1">_xll.qlRateHelperQuoteValue($A45,Trigger)</f>
        <v>#NAME?</v>
      </c>
      <c r="D45" s="19" t="b">
        <v>1</v>
      </c>
      <c r="E45" s="19">
        <v>50</v>
      </c>
      <c r="F45" s="19">
        <v>1</v>
      </c>
      <c r="G45" s="176" t="e">
        <f>_xll.qlRateHelperEarliestDate($A45,Trigger)</f>
        <v>#NUM!</v>
      </c>
      <c r="H45" s="177" t="e">
        <f>_xll.qlRateHelperLatestDate($A45,Trigger)</f>
        <v>#NUM!</v>
      </c>
    </row>
    <row r="46" spans="1:8" x14ac:dyDescent="0.2">
      <c r="A46" s="23" t="e">
        <f>Swaps!G32</f>
        <v>#VALUE!</v>
      </c>
      <c r="B46" s="23" t="e">
        <f ca="1">_xll.qlRateHelperQuoteName(A46)</f>
        <v>#NAME?</v>
      </c>
      <c r="C46" s="22" t="e">
        <f ca="1">_xll.qlRateHelperQuoteValue($A46,Trigger)</f>
        <v>#NAME?</v>
      </c>
      <c r="D46" s="19" t="b">
        <v>1</v>
      </c>
      <c r="E46" s="19">
        <v>50</v>
      </c>
      <c r="F46" s="19">
        <v>1</v>
      </c>
      <c r="G46" s="176" t="e">
        <f>_xll.qlRateHelperEarliestDate($A46,Trigger)</f>
        <v>#NUM!</v>
      </c>
      <c r="H46" s="177" t="e">
        <f>_xll.qlRateHelperLatestDate($A46,Trigger)</f>
        <v>#NUM!</v>
      </c>
    </row>
    <row r="47" spans="1:8" x14ac:dyDescent="0.2">
      <c r="A47" s="23" t="e">
        <f>Swaps!G33</f>
        <v>#VALUE!</v>
      </c>
      <c r="B47" s="23" t="e">
        <f ca="1">_xll.qlRateHelperQuoteName(A47)</f>
        <v>#NAME?</v>
      </c>
      <c r="C47" s="22" t="e">
        <f ca="1">_xll.qlRateHelperQuoteValue($A47,Trigger)</f>
        <v>#NAME?</v>
      </c>
      <c r="D47" s="19" t="b">
        <v>1</v>
      </c>
      <c r="E47" s="19">
        <v>50</v>
      </c>
      <c r="F47" s="19">
        <v>1</v>
      </c>
      <c r="G47" s="176" t="e">
        <f>_xll.qlRateHelperEarliestDate($A47,Trigger)</f>
        <v>#NUM!</v>
      </c>
      <c r="H47" s="177" t="e">
        <f>_xll.qlRateHelperLatestDate($A47,Trigger)</f>
        <v>#NUM!</v>
      </c>
    </row>
    <row r="48" spans="1:8" x14ac:dyDescent="0.2">
      <c r="A48" s="23" t="e">
        <f>Swaps!G34</f>
        <v>#VALUE!</v>
      </c>
      <c r="B48" s="23" t="e">
        <f ca="1">_xll.qlRateHelperQuoteName(A48)</f>
        <v>#NAME?</v>
      </c>
      <c r="C48" s="22" t="e">
        <f ca="1">_xll.qlRateHelperQuoteValue($A48,Trigger)</f>
        <v>#NAME?</v>
      </c>
      <c r="D48" s="19" t="b">
        <v>1</v>
      </c>
      <c r="E48" s="19">
        <v>50</v>
      </c>
      <c r="F48" s="19">
        <v>1</v>
      </c>
      <c r="G48" s="176" t="e">
        <f>_xll.qlRateHelperEarliestDate($A48,Trigger)</f>
        <v>#NUM!</v>
      </c>
      <c r="H48" s="177" t="e">
        <f>_xll.qlRateHelperLatestDate($A48,Trigger)</f>
        <v>#NUM!</v>
      </c>
    </row>
    <row r="49" spans="1:9" x14ac:dyDescent="0.2">
      <c r="A49" s="23" t="e">
        <f>Swaps!G35</f>
        <v>#VALUE!</v>
      </c>
      <c r="B49" s="23" t="e">
        <f ca="1">_xll.qlRateHelperQuoteName(A49)</f>
        <v>#NAME?</v>
      </c>
      <c r="C49" s="22" t="e">
        <f ca="1">_xll.qlRateHelperQuoteValue($A49,Trigger)</f>
        <v>#NAME?</v>
      </c>
      <c r="D49" s="19" t="b">
        <v>1</v>
      </c>
      <c r="E49" s="19">
        <v>50</v>
      </c>
      <c r="F49" s="19">
        <v>1</v>
      </c>
      <c r="G49" s="176" t="e">
        <f>_xll.qlRateHelperEarliestDate($A49,Trigger)</f>
        <v>#NUM!</v>
      </c>
      <c r="H49" s="177" t="e">
        <f>_xll.qlRateHelperLatestDate($A49,Trigger)</f>
        <v>#NUM!</v>
      </c>
    </row>
    <row r="50" spans="1:9" x14ac:dyDescent="0.2">
      <c r="A50" s="23" t="e">
        <f>Swaps!G36</f>
        <v>#VALUE!</v>
      </c>
      <c r="B50" s="23" t="e">
        <f ca="1">_xll.qlRateHelperQuoteName(A50)</f>
        <v>#NAME?</v>
      </c>
      <c r="C50" s="22" t="e">
        <f ca="1">_xll.qlRateHelperQuoteValue($A50,Trigger)</f>
        <v>#NAME?</v>
      </c>
      <c r="D50" s="19" t="b">
        <v>1</v>
      </c>
      <c r="E50" s="19">
        <v>50</v>
      </c>
      <c r="F50" s="19">
        <v>1</v>
      </c>
      <c r="G50" s="176" t="e">
        <f>_xll.qlRateHelperEarliestDate($A50,Trigger)</f>
        <v>#NUM!</v>
      </c>
      <c r="H50" s="177" t="e">
        <f>_xll.qlRateHelperLatestDate($A50,Trigger)</f>
        <v>#NUM!</v>
      </c>
    </row>
    <row r="51" spans="1:9" x14ac:dyDescent="0.2">
      <c r="A51" s="23" t="e">
        <f>Swaps!G37</f>
        <v>#VALUE!</v>
      </c>
      <c r="B51" s="23" t="e">
        <f ca="1">_xll.qlRateHelperQuoteName(A51)</f>
        <v>#NAME?</v>
      </c>
      <c r="C51" s="22" t="e">
        <f ca="1">_xll.qlRateHelperQuoteValue($A51,Trigger)</f>
        <v>#NAME?</v>
      </c>
      <c r="D51" s="19" t="b">
        <v>1</v>
      </c>
      <c r="E51" s="19">
        <v>50</v>
      </c>
      <c r="F51" s="19">
        <v>1</v>
      </c>
      <c r="G51" s="176" t="e">
        <f>_xll.qlRateHelperEarliestDate($A51,Trigger)</f>
        <v>#NUM!</v>
      </c>
      <c r="H51" s="177" t="e">
        <f>_xll.qlRateHelperLatestDate($A51,Trigger)</f>
        <v>#NUM!</v>
      </c>
    </row>
    <row r="52" spans="1:9" x14ac:dyDescent="0.2">
      <c r="A52" s="23" t="e">
        <f>Swaps!G38</f>
        <v>#VALUE!</v>
      </c>
      <c r="B52" s="23" t="e">
        <f ca="1">_xll.qlRateHelperQuoteName(A52)</f>
        <v>#NAME?</v>
      </c>
      <c r="C52" s="22" t="e">
        <f ca="1">_xll.qlRateHelperQuoteValue($A52,Trigger)</f>
        <v>#NAME?</v>
      </c>
      <c r="D52" s="19" t="b">
        <v>1</v>
      </c>
      <c r="E52" s="19">
        <v>50</v>
      </c>
      <c r="F52" s="19">
        <v>1</v>
      </c>
      <c r="G52" s="176" t="e">
        <f>_xll.qlRateHelperEarliestDate($A52,Trigger)</f>
        <v>#NUM!</v>
      </c>
      <c r="H52" s="177" t="e">
        <f>_xll.qlRateHelperLatestDate($A52,Trigger)</f>
        <v>#NUM!</v>
      </c>
    </row>
    <row r="53" spans="1:9" x14ac:dyDescent="0.2">
      <c r="A53" s="23" t="e">
        <f>Swaps!G39</f>
        <v>#VALUE!</v>
      </c>
      <c r="B53" s="23" t="e">
        <f ca="1">_xll.qlRateHelperQuoteName(A53)</f>
        <v>#NAME?</v>
      </c>
      <c r="C53" s="22" t="e">
        <f ca="1">_xll.qlRateHelperQuoteValue($A53,Trigger)</f>
        <v>#NAME?</v>
      </c>
      <c r="D53" s="19" t="b">
        <v>1</v>
      </c>
      <c r="E53" s="19">
        <v>50</v>
      </c>
      <c r="F53" s="19">
        <v>1</v>
      </c>
      <c r="G53" s="176" t="e">
        <f>_xll.qlRateHelperEarliestDate($A53,Trigger)</f>
        <v>#NUM!</v>
      </c>
      <c r="H53" s="177" t="e">
        <f>_xll.qlRateHelperLatestDate($A53,Trigger)</f>
        <v>#NUM!</v>
      </c>
    </row>
    <row r="54" spans="1:9" x14ac:dyDescent="0.2">
      <c r="A54" s="23" t="e">
        <f>Swaps!G40</f>
        <v>#VALUE!</v>
      </c>
      <c r="B54" s="23" t="e">
        <f ca="1">_xll.qlRateHelperQuoteName(A54)</f>
        <v>#NAME?</v>
      </c>
      <c r="C54" s="22" t="e">
        <f ca="1">_xll.qlRateHelperQuoteValue($A54,Trigger)</f>
        <v>#NAME?</v>
      </c>
      <c r="D54" s="19" t="b">
        <v>1</v>
      </c>
      <c r="E54" s="19">
        <v>50</v>
      </c>
      <c r="F54" s="19">
        <v>1</v>
      </c>
      <c r="G54" s="176" t="e">
        <f>_xll.qlRateHelperEarliestDate($A54,Trigger)</f>
        <v>#NUM!</v>
      </c>
      <c r="H54" s="177" t="e">
        <f>_xll.qlRateHelperLatestDate($A54,Trigger)</f>
        <v>#NUM!</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t="e">
        <f t="array" aca="1" ref="J1:J126" ca="1">_xll.qlPiecewiseYieldCurveData(YieldCurve)</f>
        <v>#NUM!</v>
      </c>
    </row>
    <row r="2" spans="1:10" x14ac:dyDescent="0.2">
      <c r="A2" s="14" t="s">
        <v>5</v>
      </c>
      <c r="B2" s="13">
        <v>8</v>
      </c>
      <c r="C2" s="58"/>
      <c r="D2" s="10" t="e">
        <f t="array" aca="1" ref="D2:D126" ca="1">_xll.qlRateHelperSelection(_xll.ohFilter(RateHelpers,RateHelpersIncluded),_xll.ohFilter(RateHelpersPriority,RateHelpersIncluded),nIMMFutures,nSerialFutures,FrontFuturesRollingDays,DepoInclusionCriteria,_xll.ohFilter(MinDistance,RateHelpersIncluded),Trigger)</f>
        <v>#VALUE!</v>
      </c>
      <c r="E2" s="10" t="e">
        <f ca="1">_xll.qlRateHelperQuoteName(D2)</f>
        <v>#NAME?</v>
      </c>
      <c r="F2" s="9" t="e">
        <f ca="1">_xll.qlRateHelperRate($D2)</f>
        <v>#NUM!</v>
      </c>
      <c r="G2" s="9" t="str">
        <f ca="1">IF(ISERROR(_xll.qlSwapRateHelperSpread($D2)),IF(ISERROR(_xll.qlFuturesRateHelperConvexityAdjustment($D2)),"--",_xll.qlFuturesRateHelperConvexityAdjustment($D2)),_xll.qlSwapRateHelperSpread($D2))</f>
        <v>--</v>
      </c>
      <c r="H2" s="8" t="e">
        <f ca="1">_xll.qlRateHelperEarliestDate($D2)</f>
        <v>#NUM!</v>
      </c>
      <c r="I2" s="7" t="e">
        <f ca="1">_xll.qlRateHelperLatestDate($D2)</f>
        <v>#NUM!</v>
      </c>
      <c r="J2" s="171" t="e">
        <f ca="1"/>
        <v>#NUM!</v>
      </c>
    </row>
    <row r="3" spans="1:10" x14ac:dyDescent="0.2">
      <c r="A3" s="11" t="s">
        <v>4</v>
      </c>
      <c r="B3" s="12">
        <v>1</v>
      </c>
      <c r="C3" s="58"/>
      <c r="D3" s="10" t="e">
        <f ca="1"/>
        <v>#VALUE!</v>
      </c>
      <c r="E3" s="10" t="e">
        <f ca="1">_xll.qlRateHelperQuoteName(D3)</f>
        <v>#NAME?</v>
      </c>
      <c r="F3" s="9" t="e">
        <f ca="1">_xll.qlRateHelperRate($D3)</f>
        <v>#NUM!</v>
      </c>
      <c r="G3" s="9" t="str">
        <f ca="1">IF(ISERROR(_xll.qlSwapRateHelperSpread($D3)),IF(ISERROR(_xll.qlFuturesRateHelperConvexityAdjustment($D3)),"--",_xll.qlFuturesRateHelperConvexityAdjustment($D3)),_xll.qlSwapRateHelperSpread($D3))</f>
        <v>--</v>
      </c>
      <c r="H3" s="8" t="e">
        <f ca="1">_xll.qlRateHelperEarliestDate($D3)</f>
        <v>#NUM!</v>
      </c>
      <c r="I3" s="7" t="e">
        <f ca="1">_xll.qlRateHelperLatestDate($D3)</f>
        <v>#NUM!</v>
      </c>
      <c r="J3" s="171" t="e">
        <f ca="1"/>
        <v>#NUM!</v>
      </c>
    </row>
    <row r="4" spans="1:10" x14ac:dyDescent="0.2">
      <c r="A4" s="11" t="s">
        <v>3</v>
      </c>
      <c r="B4" s="12">
        <v>2</v>
      </c>
      <c r="C4" s="58"/>
      <c r="D4" s="10" t="e">
        <f ca="1"/>
        <v>#VALUE!</v>
      </c>
      <c r="E4" s="10" t="e">
        <f ca="1">_xll.qlRateHelperQuoteName(D4)</f>
        <v>#NAME?</v>
      </c>
      <c r="F4" s="9" t="e">
        <f ca="1">_xll.qlRateHelperRate($D4)</f>
        <v>#NUM!</v>
      </c>
      <c r="G4" s="9" t="str">
        <f ca="1">IF(ISERROR(_xll.qlSwapRateHelperSpread($D4)),IF(ISERROR(_xll.qlFuturesRateHelperConvexityAdjustment($D4)),"--",_xll.qlFuturesRateHelperConvexityAdjustment($D4)),_xll.qlSwapRateHelperSpread($D4))</f>
        <v>--</v>
      </c>
      <c r="H4" s="8" t="e">
        <f ca="1">_xll.qlRateHelperEarliestDate($D4)</f>
        <v>#NUM!</v>
      </c>
      <c r="I4" s="7" t="e">
        <f ca="1">_xll.qlRateHelperLatestDate($D4)</f>
        <v>#NUM!</v>
      </c>
      <c r="J4" s="171" t="e">
        <f ca="1"/>
        <v>#NUM!</v>
      </c>
    </row>
    <row r="5" spans="1:10" ht="12" thickBot="1" x14ac:dyDescent="0.25">
      <c r="A5" s="139" t="s">
        <v>2</v>
      </c>
      <c r="B5" s="140" t="s">
        <v>1</v>
      </c>
      <c r="C5" s="58"/>
      <c r="D5" s="10" t="e">
        <f ca="1"/>
        <v>#VALUE!</v>
      </c>
      <c r="E5" s="10" t="e">
        <f ca="1">_xll.qlRateHelperQuoteName(D5)</f>
        <v>#NAME?</v>
      </c>
      <c r="F5" s="9" t="e">
        <f ca="1">_xll.qlRateHelperRate($D5)</f>
        <v>#NUM!</v>
      </c>
      <c r="G5" s="9" t="str">
        <f ca="1">IF(ISERROR(_xll.qlSwapRateHelperSpread($D5)),IF(ISERROR(_xll.qlFuturesRateHelperConvexityAdjustment($D5)),"--",_xll.qlFuturesRateHelperConvexityAdjustment($D5)),_xll.qlSwapRateHelperSpread($D5))</f>
        <v>--</v>
      </c>
      <c r="H5" s="8" t="e">
        <f ca="1">_xll.qlRateHelperEarliestDate($D5)</f>
        <v>#NUM!</v>
      </c>
      <c r="I5" s="7" t="e">
        <f ca="1">_xll.qlRateHelperLatestDate($D5)</f>
        <v>#NUM!</v>
      </c>
      <c r="J5" s="171" t="e">
        <f ca="1"/>
        <v>#NUM!</v>
      </c>
    </row>
    <row r="6" spans="1:10" x14ac:dyDescent="0.2">
      <c r="C6" s="58"/>
      <c r="D6" s="10" t="e">
        <f ca="1"/>
        <v>#VALUE!</v>
      </c>
      <c r="E6" s="10" t="e">
        <f ca="1">_xll.qlRateHelperQuoteName(D6)</f>
        <v>#NAME?</v>
      </c>
      <c r="F6" s="9" t="e">
        <f ca="1">_xll.qlRateHelperRate($D6)</f>
        <v>#NUM!</v>
      </c>
      <c r="G6" s="9" t="str">
        <f ca="1">IF(ISERROR(_xll.qlSwapRateHelperSpread($D6)),IF(ISERROR(_xll.qlFuturesRateHelperConvexityAdjustment($D6)),"--",_xll.qlFuturesRateHelperConvexityAdjustment($D6)),_xll.qlSwapRateHelperSpread($D6))</f>
        <v>--</v>
      </c>
      <c r="H6" s="8" t="e">
        <f ca="1">_xll.qlRateHelperEarliestDate($D6)</f>
        <v>#NUM!</v>
      </c>
      <c r="I6" s="7" t="e">
        <f ca="1">_xll.qlRateHelperLatestDate($D6)</f>
        <v>#NUM!</v>
      </c>
      <c r="J6" s="171" t="e">
        <f ca="1"/>
        <v>#NUM!</v>
      </c>
    </row>
    <row r="7" spans="1:10" x14ac:dyDescent="0.2">
      <c r="B7" s="264"/>
      <c r="C7" s="58"/>
      <c r="D7" s="10" t="e">
        <f ca="1"/>
        <v>#VALUE!</v>
      </c>
      <c r="E7" s="10" t="e">
        <f ca="1">_xll.qlRateHelperQuoteName(D7)</f>
        <v>#NAME?</v>
      </c>
      <c r="F7" s="9" t="e">
        <f ca="1">_xll.qlRateHelperRate($D7)</f>
        <v>#NUM!</v>
      </c>
      <c r="G7" s="9" t="str">
        <f ca="1">IF(ISERROR(_xll.qlSwapRateHelperSpread($D7)),IF(ISERROR(_xll.qlFuturesRateHelperConvexityAdjustment($D7)),"--",_xll.qlFuturesRateHelperConvexityAdjustment($D7)),_xll.qlSwapRateHelperSpread($D7))</f>
        <v>--</v>
      </c>
      <c r="H7" s="8" t="e">
        <f ca="1">_xll.qlRateHelperEarliestDate($D7)</f>
        <v>#NUM!</v>
      </c>
      <c r="I7" s="7" t="e">
        <f ca="1">_xll.qlRateHelperLatestDate($D7)</f>
        <v>#NUM!</v>
      </c>
      <c r="J7" s="171" t="e">
        <f ca="1"/>
        <v>#NUM!</v>
      </c>
    </row>
    <row r="8" spans="1:10" x14ac:dyDescent="0.2">
      <c r="C8" s="58"/>
      <c r="D8" s="10" t="e">
        <f ca="1"/>
        <v>#VALUE!</v>
      </c>
      <c r="E8" s="10" t="e">
        <f ca="1">_xll.qlRateHelperQuoteName(D8)</f>
        <v>#NAME?</v>
      </c>
      <c r="F8" s="9" t="e">
        <f ca="1">_xll.qlRateHelperRate($D8)</f>
        <v>#NUM!</v>
      </c>
      <c r="G8" s="9" t="str">
        <f ca="1">IF(ISERROR(_xll.qlSwapRateHelperSpread($D8)),IF(ISERROR(_xll.qlFuturesRateHelperConvexityAdjustment($D8)),"--",_xll.qlFuturesRateHelperConvexityAdjustment($D8)),_xll.qlSwapRateHelperSpread($D8))</f>
        <v>--</v>
      </c>
      <c r="H8" s="8" t="e">
        <f ca="1">_xll.qlRateHelperEarliestDate($D8)</f>
        <v>#NUM!</v>
      </c>
      <c r="I8" s="7" t="e">
        <f ca="1">_xll.qlRateHelperLatestDate($D8)</f>
        <v>#NUM!</v>
      </c>
      <c r="J8" s="171" t="e">
        <f ca="1"/>
        <v>#NUM!</v>
      </c>
    </row>
    <row r="9" spans="1:10" x14ac:dyDescent="0.2">
      <c r="C9" s="58"/>
      <c r="D9" s="10" t="e">
        <f ca="1"/>
        <v>#VALUE!</v>
      </c>
      <c r="E9" s="10" t="e">
        <f ca="1">_xll.qlRateHelperQuoteName(D9)</f>
        <v>#NAME?</v>
      </c>
      <c r="F9" s="9" t="e">
        <f ca="1">_xll.qlRateHelperRate($D9)</f>
        <v>#NUM!</v>
      </c>
      <c r="G9" s="9" t="str">
        <f ca="1">IF(ISERROR(_xll.qlSwapRateHelperSpread($D9)),IF(ISERROR(_xll.qlFuturesRateHelperConvexityAdjustment($D9)),"--",_xll.qlFuturesRateHelperConvexityAdjustment($D9)),_xll.qlSwapRateHelperSpread($D9))</f>
        <v>--</v>
      </c>
      <c r="H9" s="8" t="e">
        <f ca="1">_xll.qlRateHelperEarliestDate($D9)</f>
        <v>#NUM!</v>
      </c>
      <c r="I9" s="7" t="e">
        <f ca="1">_xll.qlRateHelperLatestDate($D9)</f>
        <v>#NUM!</v>
      </c>
      <c r="J9" s="171" t="e">
        <f ca="1"/>
        <v>#NUM!</v>
      </c>
    </row>
    <row r="10" spans="1:10" x14ac:dyDescent="0.2">
      <c r="C10" s="58"/>
      <c r="D10" s="10" t="e">
        <f ca="1"/>
        <v>#VALUE!</v>
      </c>
      <c r="E10" s="10" t="e">
        <f ca="1">_xll.qlRateHelperQuoteName(D10)</f>
        <v>#NAME?</v>
      </c>
      <c r="F10" s="9" t="e">
        <f ca="1">_xll.qlRateHelperRate($D10)</f>
        <v>#NUM!</v>
      </c>
      <c r="G10" s="9" t="str">
        <f ca="1">IF(ISERROR(_xll.qlSwapRateHelperSpread($D10)),IF(ISERROR(_xll.qlFuturesRateHelperConvexityAdjustment($D10)),"--",_xll.qlFuturesRateHelperConvexityAdjustment($D10)),_xll.qlSwapRateHelperSpread($D10))</f>
        <v>--</v>
      </c>
      <c r="H10" s="8" t="e">
        <f ca="1">_xll.qlRateHelperEarliestDate($D10)</f>
        <v>#NUM!</v>
      </c>
      <c r="I10" s="7" t="e">
        <f ca="1">_xll.qlRateHelperLatestDate($D10)</f>
        <v>#NUM!</v>
      </c>
      <c r="J10" s="171" t="e">
        <f ca="1"/>
        <v>#NUM!</v>
      </c>
    </row>
    <row r="11" spans="1:10" x14ac:dyDescent="0.2">
      <c r="C11" s="58"/>
      <c r="D11" s="10" t="e">
        <f ca="1"/>
        <v>#VALUE!</v>
      </c>
      <c r="E11" s="10" t="e">
        <f ca="1">_xll.qlRateHelperQuoteName(D11)</f>
        <v>#NAME?</v>
      </c>
      <c r="F11" s="9" t="e">
        <f ca="1">_xll.qlRateHelperRate($D11)</f>
        <v>#NUM!</v>
      </c>
      <c r="G11" s="9" t="str">
        <f ca="1">IF(ISERROR(_xll.qlSwapRateHelperSpread($D11)),IF(ISERROR(_xll.qlFuturesRateHelperConvexityAdjustment($D11)),"--",_xll.qlFuturesRateHelperConvexityAdjustment($D11)),_xll.qlSwapRateHelperSpread($D11))</f>
        <v>--</v>
      </c>
      <c r="H11" s="8" t="e">
        <f ca="1">_xll.qlRateHelperEarliestDate($D11)</f>
        <v>#NUM!</v>
      </c>
      <c r="I11" s="7" t="e">
        <f ca="1">_xll.qlRateHelperLatestDate($D11)</f>
        <v>#NUM!</v>
      </c>
      <c r="J11" s="171" t="e">
        <f ca="1"/>
        <v>#NUM!</v>
      </c>
    </row>
    <row r="12" spans="1:10" x14ac:dyDescent="0.2">
      <c r="C12" s="58"/>
      <c r="D12" s="10" t="e">
        <f ca="1"/>
        <v>#VALUE!</v>
      </c>
      <c r="E12" s="10" t="e">
        <f ca="1">_xll.qlRateHelperQuoteName(D12)</f>
        <v>#NAME?</v>
      </c>
      <c r="F12" s="9" t="e">
        <f ca="1">_xll.qlRateHelperRate($D12)</f>
        <v>#NUM!</v>
      </c>
      <c r="G12" s="9" t="str">
        <f ca="1">IF(ISERROR(_xll.qlSwapRateHelperSpread($D12)),IF(ISERROR(_xll.qlFuturesRateHelperConvexityAdjustment($D12)),"--",_xll.qlFuturesRateHelperConvexityAdjustment($D12)),_xll.qlSwapRateHelperSpread($D12))</f>
        <v>--</v>
      </c>
      <c r="H12" s="8" t="e">
        <f ca="1">_xll.qlRateHelperEarliestDate($D12)</f>
        <v>#NUM!</v>
      </c>
      <c r="I12" s="7" t="e">
        <f ca="1">_xll.qlRateHelperLatestDate($D12)</f>
        <v>#NUM!</v>
      </c>
      <c r="J12" s="171" t="e">
        <f ca="1"/>
        <v>#NUM!</v>
      </c>
    </row>
    <row r="13" spans="1:10" x14ac:dyDescent="0.2">
      <c r="C13" s="58"/>
      <c r="D13" s="10" t="e">
        <f ca="1"/>
        <v>#VALUE!</v>
      </c>
      <c r="E13" s="10" t="e">
        <f ca="1">_xll.qlRateHelperQuoteName(D13)</f>
        <v>#NAME?</v>
      </c>
      <c r="F13" s="9" t="e">
        <f ca="1">_xll.qlRateHelperRate($D13)</f>
        <v>#NUM!</v>
      </c>
      <c r="G13" s="9" t="str">
        <f ca="1">IF(ISERROR(_xll.qlSwapRateHelperSpread($D13)),IF(ISERROR(_xll.qlFuturesRateHelperConvexityAdjustment($D13)),"--",_xll.qlFuturesRateHelperConvexityAdjustment($D13)),_xll.qlSwapRateHelperSpread($D13))</f>
        <v>--</v>
      </c>
      <c r="H13" s="8" t="e">
        <f ca="1">_xll.qlRateHelperEarliestDate($D13)</f>
        <v>#NUM!</v>
      </c>
      <c r="I13" s="7" t="e">
        <f ca="1">_xll.qlRateHelperLatestDate($D13)</f>
        <v>#NUM!</v>
      </c>
      <c r="J13" s="171" t="e">
        <f ca="1"/>
        <v>#NUM!</v>
      </c>
    </row>
    <row r="14" spans="1:10" x14ac:dyDescent="0.2">
      <c r="C14" s="58"/>
      <c r="D14" s="10" t="e">
        <f ca="1"/>
        <v>#VALUE!</v>
      </c>
      <c r="E14" s="10" t="e">
        <f ca="1">_xll.qlRateHelperQuoteName(D14)</f>
        <v>#NAME?</v>
      </c>
      <c r="F14" s="9" t="e">
        <f ca="1">_xll.qlRateHelperRate($D14)</f>
        <v>#NUM!</v>
      </c>
      <c r="G14" s="9" t="str">
        <f ca="1">IF(ISERROR(_xll.qlSwapRateHelperSpread($D14)),IF(ISERROR(_xll.qlFuturesRateHelperConvexityAdjustment($D14)),"--",_xll.qlFuturesRateHelperConvexityAdjustment($D14)),_xll.qlSwapRateHelperSpread($D14))</f>
        <v>--</v>
      </c>
      <c r="H14" s="8" t="e">
        <f ca="1">_xll.qlRateHelperEarliestDate($D14)</f>
        <v>#NUM!</v>
      </c>
      <c r="I14" s="7" t="e">
        <f ca="1">_xll.qlRateHelperLatestDate($D14)</f>
        <v>#NUM!</v>
      </c>
      <c r="J14" s="171" t="e">
        <f ca="1"/>
        <v>#NUM!</v>
      </c>
    </row>
    <row r="15" spans="1:10" x14ac:dyDescent="0.2">
      <c r="C15" s="58"/>
      <c r="D15" s="10" t="e">
        <f ca="1"/>
        <v>#VALUE!</v>
      </c>
      <c r="E15" s="10" t="e">
        <f ca="1">_xll.qlRateHelperQuoteName(D15)</f>
        <v>#NAME?</v>
      </c>
      <c r="F15" s="9" t="e">
        <f ca="1">_xll.qlRateHelperRate($D15)</f>
        <v>#NUM!</v>
      </c>
      <c r="G15" s="9" t="str">
        <f ca="1">IF(ISERROR(_xll.qlSwapRateHelperSpread($D15)),IF(ISERROR(_xll.qlFuturesRateHelperConvexityAdjustment($D15)),"--",_xll.qlFuturesRateHelperConvexityAdjustment($D15)),_xll.qlSwapRateHelperSpread($D15))</f>
        <v>--</v>
      </c>
      <c r="H15" s="8" t="e">
        <f ca="1">_xll.qlRateHelperEarliestDate($D15)</f>
        <v>#NUM!</v>
      </c>
      <c r="I15" s="7" t="e">
        <f ca="1">_xll.qlRateHelperLatestDate($D15)</f>
        <v>#NUM!</v>
      </c>
      <c r="J15" s="171" t="e">
        <f ca="1"/>
        <v>#NUM!</v>
      </c>
    </row>
    <row r="16" spans="1:10" x14ac:dyDescent="0.2">
      <c r="C16" s="58"/>
      <c r="D16" s="10" t="e">
        <f ca="1"/>
        <v>#VALUE!</v>
      </c>
      <c r="E16" s="10" t="e">
        <f ca="1">_xll.qlRateHelperQuoteName(D16)</f>
        <v>#NAME?</v>
      </c>
      <c r="F16" s="9" t="e">
        <f ca="1">_xll.qlRateHelperRate($D16)</f>
        <v>#NUM!</v>
      </c>
      <c r="G16" s="9" t="str">
        <f ca="1">IF(ISERROR(_xll.qlSwapRateHelperSpread($D16)),IF(ISERROR(_xll.qlFuturesRateHelperConvexityAdjustment($D16)),"--",_xll.qlFuturesRateHelperConvexityAdjustment($D16)),_xll.qlSwapRateHelperSpread($D16))</f>
        <v>--</v>
      </c>
      <c r="H16" s="8" t="e">
        <f ca="1">_xll.qlRateHelperEarliestDate($D16)</f>
        <v>#NUM!</v>
      </c>
      <c r="I16" s="7" t="e">
        <f ca="1">_xll.qlRateHelperLatestDate($D16)</f>
        <v>#NUM!</v>
      </c>
      <c r="J16" s="171" t="e">
        <f ca="1"/>
        <v>#NUM!</v>
      </c>
    </row>
    <row r="17" spans="3:10" x14ac:dyDescent="0.2">
      <c r="C17" s="58"/>
      <c r="D17" s="10" t="e">
        <f ca="1"/>
        <v>#VALUE!</v>
      </c>
      <c r="E17" s="10" t="e">
        <f ca="1">_xll.qlRateHelperQuoteName(D17)</f>
        <v>#NAME?</v>
      </c>
      <c r="F17" s="9" t="e">
        <f ca="1">_xll.qlRateHelperRate($D17)</f>
        <v>#NUM!</v>
      </c>
      <c r="G17" s="9" t="str">
        <f ca="1">IF(ISERROR(_xll.qlSwapRateHelperSpread($D17)),IF(ISERROR(_xll.qlFuturesRateHelperConvexityAdjustment($D17)),"--",_xll.qlFuturesRateHelperConvexityAdjustment($D17)),_xll.qlSwapRateHelperSpread($D17))</f>
        <v>--</v>
      </c>
      <c r="H17" s="8" t="e">
        <f ca="1">_xll.qlRateHelperEarliestDate($D17)</f>
        <v>#NUM!</v>
      </c>
      <c r="I17" s="7" t="e">
        <f ca="1">_xll.qlRateHelperLatestDate($D17)</f>
        <v>#NUM!</v>
      </c>
      <c r="J17" s="171" t="e">
        <f ca="1"/>
        <v>#NUM!</v>
      </c>
    </row>
    <row r="18" spans="3:10" x14ac:dyDescent="0.2">
      <c r="C18" s="58"/>
      <c r="D18" s="10" t="e">
        <f ca="1"/>
        <v>#VALUE!</v>
      </c>
      <c r="E18" s="10" t="e">
        <f ca="1">_xll.qlRateHelperQuoteName(D18)</f>
        <v>#NAME?</v>
      </c>
      <c r="F18" s="9" t="e">
        <f ca="1">_xll.qlRateHelperRate($D18)</f>
        <v>#NUM!</v>
      </c>
      <c r="G18" s="9" t="str">
        <f ca="1">IF(ISERROR(_xll.qlSwapRateHelperSpread($D18)),IF(ISERROR(_xll.qlFuturesRateHelperConvexityAdjustment($D18)),"--",_xll.qlFuturesRateHelperConvexityAdjustment($D18)),_xll.qlSwapRateHelperSpread($D18))</f>
        <v>--</v>
      </c>
      <c r="H18" s="8" t="e">
        <f ca="1">_xll.qlRateHelperEarliestDate($D18)</f>
        <v>#NUM!</v>
      </c>
      <c r="I18" s="7" t="e">
        <f ca="1">_xll.qlRateHelperLatestDate($D18)</f>
        <v>#NUM!</v>
      </c>
      <c r="J18" s="171" t="e">
        <f ca="1"/>
        <v>#NUM!</v>
      </c>
    </row>
    <row r="19" spans="3:10" x14ac:dyDescent="0.2">
      <c r="C19" s="58"/>
      <c r="D19" s="10" t="e">
        <f ca="1"/>
        <v>#VALUE!</v>
      </c>
      <c r="E19" s="10" t="e">
        <f ca="1">_xll.qlRateHelperQuoteName(D19)</f>
        <v>#NAME?</v>
      </c>
      <c r="F19" s="9" t="e">
        <f ca="1">_xll.qlRateHelperRate($D19)</f>
        <v>#NUM!</v>
      </c>
      <c r="G19" s="9" t="str">
        <f ca="1">IF(ISERROR(_xll.qlSwapRateHelperSpread($D19)),IF(ISERROR(_xll.qlFuturesRateHelperConvexityAdjustment($D19)),"--",_xll.qlFuturesRateHelperConvexityAdjustment($D19)),_xll.qlSwapRateHelperSpread($D19))</f>
        <v>--</v>
      </c>
      <c r="H19" s="8" t="e">
        <f ca="1">_xll.qlRateHelperEarliestDate($D19)</f>
        <v>#NUM!</v>
      </c>
      <c r="I19" s="7" t="e">
        <f ca="1">_xll.qlRateHelperLatestDate($D19)</f>
        <v>#NUM!</v>
      </c>
      <c r="J19" s="171" t="e">
        <f ca="1"/>
        <v>#NUM!</v>
      </c>
    </row>
    <row r="20" spans="3:10" x14ac:dyDescent="0.2">
      <c r="C20" s="58"/>
      <c r="D20" s="10" t="e">
        <f ca="1"/>
        <v>#VALUE!</v>
      </c>
      <c r="E20" s="10" t="e">
        <f ca="1">_xll.qlRateHelperQuoteName(D20)</f>
        <v>#NAME?</v>
      </c>
      <c r="F20" s="9" t="e">
        <f ca="1">_xll.qlRateHelperRate($D20)</f>
        <v>#NUM!</v>
      </c>
      <c r="G20" s="9" t="str">
        <f ca="1">IF(ISERROR(_xll.qlSwapRateHelperSpread($D20)),IF(ISERROR(_xll.qlFuturesRateHelperConvexityAdjustment($D20)),"--",_xll.qlFuturesRateHelperConvexityAdjustment($D20)),_xll.qlSwapRateHelperSpread($D20))</f>
        <v>--</v>
      </c>
      <c r="H20" s="8" t="e">
        <f ca="1">_xll.qlRateHelperEarliestDate($D20)</f>
        <v>#NUM!</v>
      </c>
      <c r="I20" s="7" t="e">
        <f ca="1">_xll.qlRateHelperLatestDate($D20)</f>
        <v>#NUM!</v>
      </c>
      <c r="J20" s="171" t="e">
        <f ca="1"/>
        <v>#NUM!</v>
      </c>
    </row>
    <row r="21" spans="3:10" x14ac:dyDescent="0.2">
      <c r="C21" s="58"/>
      <c r="D21" s="10" t="e">
        <f ca="1"/>
        <v>#VALUE!</v>
      </c>
      <c r="E21" s="10" t="e">
        <f ca="1">_xll.qlRateHelperQuoteName(D21)</f>
        <v>#NAME?</v>
      </c>
      <c r="F21" s="9" t="e">
        <f ca="1">_xll.qlRateHelperRate($D21)</f>
        <v>#NUM!</v>
      </c>
      <c r="G21" s="9" t="str">
        <f ca="1">IF(ISERROR(_xll.qlSwapRateHelperSpread($D21)),IF(ISERROR(_xll.qlFuturesRateHelperConvexityAdjustment($D21)),"--",_xll.qlFuturesRateHelperConvexityAdjustment($D21)),_xll.qlSwapRateHelperSpread($D21))</f>
        <v>--</v>
      </c>
      <c r="H21" s="8" t="e">
        <f ca="1">_xll.qlRateHelperEarliestDate($D21)</f>
        <v>#NUM!</v>
      </c>
      <c r="I21" s="7" t="e">
        <f ca="1">_xll.qlRateHelperLatestDate($D21)</f>
        <v>#NUM!</v>
      </c>
      <c r="J21" s="171" t="e">
        <f ca="1"/>
        <v>#NUM!</v>
      </c>
    </row>
    <row r="22" spans="3:10" x14ac:dyDescent="0.2">
      <c r="C22" s="58"/>
      <c r="D22" s="10" t="e">
        <f ca="1"/>
        <v>#VALUE!</v>
      </c>
      <c r="E22" s="10" t="e">
        <f ca="1">_xll.qlRateHelperQuoteName(D22)</f>
        <v>#NAME?</v>
      </c>
      <c r="F22" s="9" t="e">
        <f ca="1">_xll.qlRateHelperRate($D22)</f>
        <v>#NUM!</v>
      </c>
      <c r="G22" s="9" t="str">
        <f ca="1">IF(ISERROR(_xll.qlSwapRateHelperSpread($D22)),IF(ISERROR(_xll.qlFuturesRateHelperConvexityAdjustment($D22)),"--",_xll.qlFuturesRateHelperConvexityAdjustment($D22)),_xll.qlSwapRateHelperSpread($D22))</f>
        <v>--</v>
      </c>
      <c r="H22" s="8" t="e">
        <f ca="1">_xll.qlRateHelperEarliestDate($D22)</f>
        <v>#NUM!</v>
      </c>
      <c r="I22" s="7" t="e">
        <f ca="1">_xll.qlRateHelperLatestDate($D22)</f>
        <v>#NUM!</v>
      </c>
      <c r="J22" s="171" t="e">
        <f ca="1"/>
        <v>#NUM!</v>
      </c>
    </row>
    <row r="23" spans="3:10" x14ac:dyDescent="0.2">
      <c r="C23" s="58"/>
      <c r="D23" s="10" t="e">
        <f ca="1"/>
        <v>#VALUE!</v>
      </c>
      <c r="E23" s="10" t="e">
        <f ca="1">_xll.qlRateHelperQuoteName(D23)</f>
        <v>#NAME?</v>
      </c>
      <c r="F23" s="9" t="e">
        <f ca="1">_xll.qlRateHelperRate($D23)</f>
        <v>#NUM!</v>
      </c>
      <c r="G23" s="9" t="str">
        <f ca="1">IF(ISERROR(_xll.qlSwapRateHelperSpread($D23)),IF(ISERROR(_xll.qlFuturesRateHelperConvexityAdjustment($D23)),"--",_xll.qlFuturesRateHelperConvexityAdjustment($D23)),_xll.qlSwapRateHelperSpread($D23))</f>
        <v>--</v>
      </c>
      <c r="H23" s="8" t="e">
        <f ca="1">_xll.qlRateHelperEarliestDate($D23)</f>
        <v>#NUM!</v>
      </c>
      <c r="I23" s="7" t="e">
        <f ca="1">_xll.qlRateHelperLatestDate($D23)</f>
        <v>#NUM!</v>
      </c>
      <c r="J23" s="171" t="e">
        <f ca="1"/>
        <v>#NUM!</v>
      </c>
    </row>
    <row r="24" spans="3:10" x14ac:dyDescent="0.2">
      <c r="C24" s="58"/>
      <c r="D24" s="10" t="e">
        <f ca="1"/>
        <v>#VALUE!</v>
      </c>
      <c r="E24" s="10" t="e">
        <f ca="1">_xll.qlRateHelperQuoteName(D24)</f>
        <v>#NAME?</v>
      </c>
      <c r="F24" s="9" t="e">
        <f ca="1">_xll.qlRateHelperRate($D24)</f>
        <v>#NUM!</v>
      </c>
      <c r="G24" s="9" t="str">
        <f ca="1">IF(ISERROR(_xll.qlSwapRateHelperSpread($D24)),IF(ISERROR(_xll.qlFuturesRateHelperConvexityAdjustment($D24)),"--",_xll.qlFuturesRateHelperConvexityAdjustment($D24)),_xll.qlSwapRateHelperSpread($D24))</f>
        <v>--</v>
      </c>
      <c r="H24" s="8" t="e">
        <f ca="1">_xll.qlRateHelperEarliestDate($D24)</f>
        <v>#NUM!</v>
      </c>
      <c r="I24" s="7" t="e">
        <f ca="1">_xll.qlRateHelperLatestDate($D24)</f>
        <v>#NUM!</v>
      </c>
      <c r="J24" s="171" t="e">
        <f ca="1"/>
        <v>#NUM!</v>
      </c>
    </row>
    <row r="25" spans="3:10" x14ac:dyDescent="0.2">
      <c r="C25" s="58"/>
      <c r="D25" s="10" t="e">
        <f ca="1"/>
        <v>#VALUE!</v>
      </c>
      <c r="E25" s="10" t="e">
        <f ca="1">_xll.qlRateHelperQuoteName(D25)</f>
        <v>#NAME?</v>
      </c>
      <c r="F25" s="9" t="e">
        <f ca="1">_xll.qlRateHelperRate($D25)</f>
        <v>#NUM!</v>
      </c>
      <c r="G25" s="9" t="str">
        <f ca="1">IF(ISERROR(_xll.qlSwapRateHelperSpread($D25)),IF(ISERROR(_xll.qlFuturesRateHelperConvexityAdjustment($D25)),"--",_xll.qlFuturesRateHelperConvexityAdjustment($D25)),_xll.qlSwapRateHelperSpread($D25))</f>
        <v>--</v>
      </c>
      <c r="H25" s="8" t="e">
        <f ca="1">_xll.qlRateHelperEarliestDate($D25)</f>
        <v>#NUM!</v>
      </c>
      <c r="I25" s="7" t="e">
        <f ca="1">_xll.qlRateHelperLatestDate($D25)</f>
        <v>#NUM!</v>
      </c>
      <c r="J25" s="171" t="e">
        <f ca="1"/>
        <v>#NUM!</v>
      </c>
    </row>
    <row r="26" spans="3:10" x14ac:dyDescent="0.2">
      <c r="C26" s="58"/>
      <c r="D26" s="10" t="e">
        <f ca="1"/>
        <v>#VALUE!</v>
      </c>
      <c r="E26" s="10" t="e">
        <f ca="1">_xll.qlRateHelperQuoteName(D26)</f>
        <v>#NAME?</v>
      </c>
      <c r="F26" s="9" t="e">
        <f ca="1">_xll.qlRateHelperRate($D26)</f>
        <v>#NUM!</v>
      </c>
      <c r="G26" s="9" t="str">
        <f ca="1">IF(ISERROR(_xll.qlSwapRateHelperSpread($D26)),IF(ISERROR(_xll.qlFuturesRateHelperConvexityAdjustment($D26)),"--",_xll.qlFuturesRateHelperConvexityAdjustment($D26)),_xll.qlSwapRateHelperSpread($D26))</f>
        <v>--</v>
      </c>
      <c r="H26" s="8" t="e">
        <f ca="1">_xll.qlRateHelperEarliestDate($D26)</f>
        <v>#NUM!</v>
      </c>
      <c r="I26" s="7" t="e">
        <f ca="1">_xll.qlRateHelperLatestDate($D26)</f>
        <v>#NUM!</v>
      </c>
      <c r="J26" s="171" t="e">
        <f ca="1"/>
        <v>#NUM!</v>
      </c>
    </row>
    <row r="27" spans="3:10" x14ac:dyDescent="0.2">
      <c r="C27" s="58"/>
      <c r="D27" s="10" t="e">
        <f ca="1"/>
        <v>#VALUE!</v>
      </c>
      <c r="E27" s="10" t="e">
        <f ca="1">_xll.qlRateHelperQuoteName(D27)</f>
        <v>#NAME?</v>
      </c>
      <c r="F27" s="9" t="e">
        <f ca="1">_xll.qlRateHelperRate($D27)</f>
        <v>#NUM!</v>
      </c>
      <c r="G27" s="9" t="str">
        <f ca="1">IF(ISERROR(_xll.qlSwapRateHelperSpread($D27)),IF(ISERROR(_xll.qlFuturesRateHelperConvexityAdjustment($D27)),"--",_xll.qlFuturesRateHelperConvexityAdjustment($D27)),_xll.qlSwapRateHelperSpread($D27))</f>
        <v>--</v>
      </c>
      <c r="H27" s="8" t="e">
        <f ca="1">_xll.qlRateHelperEarliestDate($D27)</f>
        <v>#NUM!</v>
      </c>
      <c r="I27" s="7" t="e">
        <f ca="1">_xll.qlRateHelperLatestDate($D27)</f>
        <v>#NUM!</v>
      </c>
      <c r="J27" s="171" t="e">
        <f ca="1"/>
        <v>#NUM!</v>
      </c>
    </row>
    <row r="28" spans="3:10" x14ac:dyDescent="0.2">
      <c r="C28" s="58"/>
      <c r="D28" s="10" t="e">
        <f ca="1"/>
        <v>#VALUE!</v>
      </c>
      <c r="E28" s="10" t="e">
        <f ca="1">_xll.qlRateHelperQuoteName(D28)</f>
        <v>#NAME?</v>
      </c>
      <c r="F28" s="9" t="e">
        <f ca="1">_xll.qlRateHelperRate($D28)</f>
        <v>#NUM!</v>
      </c>
      <c r="G28" s="9" t="str">
        <f ca="1">IF(ISERROR(_xll.qlSwapRateHelperSpread($D28)),IF(ISERROR(_xll.qlFuturesRateHelperConvexityAdjustment($D28)),"--",_xll.qlFuturesRateHelperConvexityAdjustment($D28)),_xll.qlSwapRateHelperSpread($D28))</f>
        <v>--</v>
      </c>
      <c r="H28" s="8" t="e">
        <f ca="1">_xll.qlRateHelperEarliestDate($D28)</f>
        <v>#NUM!</v>
      </c>
      <c r="I28" s="7" t="e">
        <f ca="1">_xll.qlRateHelperLatestDate($D28)</f>
        <v>#NUM!</v>
      </c>
      <c r="J28" s="171" t="e">
        <f ca="1"/>
        <v>#NUM!</v>
      </c>
    </row>
    <row r="29" spans="3:10" x14ac:dyDescent="0.2">
      <c r="C29" s="58"/>
      <c r="D29" s="10" t="e">
        <f ca="1"/>
        <v>#VALUE!</v>
      </c>
      <c r="E29" s="10" t="e">
        <f ca="1">_xll.qlRateHelperQuoteName(D29)</f>
        <v>#NAME?</v>
      </c>
      <c r="F29" s="9" t="e">
        <f ca="1">_xll.qlRateHelperRate($D29)</f>
        <v>#NUM!</v>
      </c>
      <c r="G29" s="9" t="str">
        <f ca="1">IF(ISERROR(_xll.qlSwapRateHelperSpread($D29)),IF(ISERROR(_xll.qlFuturesRateHelperConvexityAdjustment($D29)),"--",_xll.qlFuturesRateHelperConvexityAdjustment($D29)),_xll.qlSwapRateHelperSpread($D29))</f>
        <v>--</v>
      </c>
      <c r="H29" s="8" t="e">
        <f ca="1">_xll.qlRateHelperEarliestDate($D29)</f>
        <v>#NUM!</v>
      </c>
      <c r="I29" s="7" t="e">
        <f ca="1">_xll.qlRateHelperLatestDate($D29)</f>
        <v>#NUM!</v>
      </c>
      <c r="J29" s="171" t="e">
        <f ca="1"/>
        <v>#NUM!</v>
      </c>
    </row>
    <row r="30" spans="3:10" x14ac:dyDescent="0.2">
      <c r="C30" s="58"/>
      <c r="D30" s="10" t="e">
        <f ca="1"/>
        <v>#VALUE!</v>
      </c>
      <c r="E30" s="10" t="e">
        <f ca="1">_xll.qlRateHelperQuoteName(D30)</f>
        <v>#NAME?</v>
      </c>
      <c r="F30" s="9" t="e">
        <f ca="1">_xll.qlRateHelperRate($D30)</f>
        <v>#NUM!</v>
      </c>
      <c r="G30" s="9" t="str">
        <f ca="1">IF(ISERROR(_xll.qlSwapRateHelperSpread($D30)),IF(ISERROR(_xll.qlFuturesRateHelperConvexityAdjustment($D30)),"--",_xll.qlFuturesRateHelperConvexityAdjustment($D30)),_xll.qlSwapRateHelperSpread($D30))</f>
        <v>--</v>
      </c>
      <c r="H30" s="8" t="e">
        <f ca="1">_xll.qlRateHelperEarliestDate($D30)</f>
        <v>#NUM!</v>
      </c>
      <c r="I30" s="7" t="e">
        <f ca="1">_xll.qlRateHelperLatestDate($D30)</f>
        <v>#NUM!</v>
      </c>
      <c r="J30" s="171" t="e">
        <f ca="1"/>
        <v>#NUM!</v>
      </c>
    </row>
    <row r="31" spans="3:10" x14ac:dyDescent="0.2">
      <c r="C31" s="58"/>
      <c r="D31" s="10" t="e">
        <f ca="1"/>
        <v>#VALUE!</v>
      </c>
      <c r="E31" s="10" t="e">
        <f ca="1">_xll.qlRateHelperQuoteName(D31)</f>
        <v>#NAME?</v>
      </c>
      <c r="F31" s="9" t="e">
        <f ca="1">_xll.qlRateHelperRate($D31)</f>
        <v>#NUM!</v>
      </c>
      <c r="G31" s="9" t="str">
        <f ca="1">IF(ISERROR(_xll.qlSwapRateHelperSpread($D31)),IF(ISERROR(_xll.qlFuturesRateHelperConvexityAdjustment($D31)),"--",_xll.qlFuturesRateHelperConvexityAdjustment($D31)),_xll.qlSwapRateHelperSpread($D31))</f>
        <v>--</v>
      </c>
      <c r="H31" s="8" t="e">
        <f ca="1">_xll.qlRateHelperEarliestDate($D31)</f>
        <v>#NUM!</v>
      </c>
      <c r="I31" s="7" t="e">
        <f ca="1">_xll.qlRateHelperLatestDate($D31)</f>
        <v>#NUM!</v>
      </c>
      <c r="J31" s="171" t="e">
        <f ca="1"/>
        <v>#NUM!</v>
      </c>
    </row>
    <row r="32" spans="3:10" x14ac:dyDescent="0.2">
      <c r="C32" s="58"/>
      <c r="D32" s="10" t="e">
        <f ca="1"/>
        <v>#VALUE!</v>
      </c>
      <c r="E32" s="10" t="e">
        <f ca="1">_xll.qlRateHelperQuoteName(D32)</f>
        <v>#NAME?</v>
      </c>
      <c r="F32" s="9" t="e">
        <f ca="1">_xll.qlRateHelperRate($D32)</f>
        <v>#NUM!</v>
      </c>
      <c r="G32" s="9" t="str">
        <f ca="1">IF(ISERROR(_xll.qlSwapRateHelperSpread($D32)),IF(ISERROR(_xll.qlFuturesRateHelperConvexityAdjustment($D32)),"--",_xll.qlFuturesRateHelperConvexityAdjustment($D32)),_xll.qlSwapRateHelperSpread($D32))</f>
        <v>--</v>
      </c>
      <c r="H32" s="8" t="e">
        <f ca="1">_xll.qlRateHelperEarliestDate($D32)</f>
        <v>#NUM!</v>
      </c>
      <c r="I32" s="7" t="e">
        <f ca="1">_xll.qlRateHelperLatestDate($D32)</f>
        <v>#NUM!</v>
      </c>
      <c r="J32" s="171" t="e">
        <f ca="1"/>
        <v>#NUM!</v>
      </c>
    </row>
    <row r="33" spans="3:10" x14ac:dyDescent="0.2">
      <c r="C33" s="58"/>
      <c r="D33" s="10" t="e">
        <f ca="1"/>
        <v>#VALUE!</v>
      </c>
      <c r="E33" s="10" t="e">
        <f ca="1">_xll.qlRateHelperQuoteName(D33)</f>
        <v>#NAME?</v>
      </c>
      <c r="F33" s="9" t="e">
        <f ca="1">_xll.qlRateHelperRate($D33)</f>
        <v>#NUM!</v>
      </c>
      <c r="G33" s="9" t="str">
        <f ca="1">IF(ISERROR(_xll.qlSwapRateHelperSpread($D33)),IF(ISERROR(_xll.qlFuturesRateHelperConvexityAdjustment($D33)),"--",_xll.qlFuturesRateHelperConvexityAdjustment($D33)),_xll.qlSwapRateHelperSpread($D33))</f>
        <v>--</v>
      </c>
      <c r="H33" s="8" t="e">
        <f ca="1">_xll.qlRateHelperEarliestDate($D33)</f>
        <v>#NUM!</v>
      </c>
      <c r="I33" s="7" t="e">
        <f ca="1">_xll.qlRateHelperLatestDate($D33)</f>
        <v>#NUM!</v>
      </c>
      <c r="J33" s="171" t="e">
        <f ca="1"/>
        <v>#NUM!</v>
      </c>
    </row>
    <row r="34" spans="3:10" x14ac:dyDescent="0.2">
      <c r="C34" s="58"/>
      <c r="D34" s="10" t="e">
        <f ca="1"/>
        <v>#VALUE!</v>
      </c>
      <c r="E34" s="10" t="e">
        <f ca="1">_xll.qlRateHelperQuoteName(D34)</f>
        <v>#NAME?</v>
      </c>
      <c r="F34" s="9" t="e">
        <f ca="1">_xll.qlRateHelperRate($D34)</f>
        <v>#NUM!</v>
      </c>
      <c r="G34" s="9" t="str">
        <f ca="1">IF(ISERROR(_xll.qlSwapRateHelperSpread($D34)),IF(ISERROR(_xll.qlFuturesRateHelperConvexityAdjustment($D34)),"--",_xll.qlFuturesRateHelperConvexityAdjustment($D34)),_xll.qlSwapRateHelperSpread($D34))</f>
        <v>--</v>
      </c>
      <c r="H34" s="8" t="e">
        <f ca="1">_xll.qlRateHelperEarliestDate($D34)</f>
        <v>#NUM!</v>
      </c>
      <c r="I34" s="7" t="e">
        <f ca="1">_xll.qlRateHelperLatestDate($D34)</f>
        <v>#NUM!</v>
      </c>
      <c r="J34" s="171" t="e">
        <f ca="1"/>
        <v>#NUM!</v>
      </c>
    </row>
    <row r="35" spans="3:10" x14ac:dyDescent="0.2">
      <c r="C35" s="58"/>
      <c r="D35" s="10" t="e">
        <f ca="1"/>
        <v>#VALUE!</v>
      </c>
      <c r="E35" s="10" t="e">
        <f ca="1">_xll.qlRateHelperQuoteName(D35)</f>
        <v>#NAME?</v>
      </c>
      <c r="F35" s="9" t="e">
        <f ca="1">_xll.qlRateHelperRate($D35)</f>
        <v>#NUM!</v>
      </c>
      <c r="G35" s="9" t="str">
        <f ca="1">IF(ISERROR(_xll.qlSwapRateHelperSpread($D35)),IF(ISERROR(_xll.qlFuturesRateHelperConvexityAdjustment($D35)),"--",_xll.qlFuturesRateHelperConvexityAdjustment($D35)),_xll.qlSwapRateHelperSpread($D35))</f>
        <v>--</v>
      </c>
      <c r="H35" s="8" t="e">
        <f ca="1">_xll.qlRateHelperEarliestDate($D35)</f>
        <v>#NUM!</v>
      </c>
      <c r="I35" s="7" t="e">
        <f ca="1">_xll.qlRateHelperLatestDate($D35)</f>
        <v>#NUM!</v>
      </c>
      <c r="J35" s="171" t="e">
        <f ca="1"/>
        <v>#NUM!</v>
      </c>
    </row>
    <row r="36" spans="3:10" x14ac:dyDescent="0.2">
      <c r="C36" s="58"/>
      <c r="D36" s="10" t="e">
        <f ca="1"/>
        <v>#VALUE!</v>
      </c>
      <c r="E36" s="10" t="e">
        <f ca="1">_xll.qlRateHelperQuoteName(D36)</f>
        <v>#NAME?</v>
      </c>
      <c r="F36" s="9" t="e">
        <f ca="1">_xll.qlRateHelperRate($D36)</f>
        <v>#NUM!</v>
      </c>
      <c r="G36" s="9" t="str">
        <f ca="1">IF(ISERROR(_xll.qlSwapRateHelperSpread($D36)),IF(ISERROR(_xll.qlFuturesRateHelperConvexityAdjustment($D36)),"--",_xll.qlFuturesRateHelperConvexityAdjustment($D36)),_xll.qlSwapRateHelperSpread($D36))</f>
        <v>--</v>
      </c>
      <c r="H36" s="8" t="e">
        <f ca="1">_xll.qlRateHelperEarliestDate($D36)</f>
        <v>#NUM!</v>
      </c>
      <c r="I36" s="7" t="e">
        <f ca="1">_xll.qlRateHelperLatestDate($D36)</f>
        <v>#NUM!</v>
      </c>
      <c r="J36" s="171" t="e">
        <f ca="1"/>
        <v>#NUM!</v>
      </c>
    </row>
    <row r="37" spans="3:10" x14ac:dyDescent="0.2">
      <c r="C37" s="58"/>
      <c r="D37" s="10" t="e">
        <f ca="1"/>
        <v>#VALUE!</v>
      </c>
      <c r="E37" s="10" t="e">
        <f ca="1">_xll.qlRateHelperQuoteName(D37)</f>
        <v>#NAME?</v>
      </c>
      <c r="F37" s="9" t="e">
        <f ca="1">_xll.qlRateHelperRate($D37)</f>
        <v>#NUM!</v>
      </c>
      <c r="G37" s="9" t="str">
        <f ca="1">IF(ISERROR(_xll.qlSwapRateHelperSpread($D37)),IF(ISERROR(_xll.qlFuturesRateHelperConvexityAdjustment($D37)),"--",_xll.qlFuturesRateHelperConvexityAdjustment($D37)),_xll.qlSwapRateHelperSpread($D37))</f>
        <v>--</v>
      </c>
      <c r="H37" s="8" t="e">
        <f ca="1">_xll.qlRateHelperEarliestDate($D37)</f>
        <v>#NUM!</v>
      </c>
      <c r="I37" s="7" t="e">
        <f ca="1">_xll.qlRateHelperLatestDate($D37)</f>
        <v>#NUM!</v>
      </c>
      <c r="J37" s="171" t="e">
        <f ca="1"/>
        <v>#NUM!</v>
      </c>
    </row>
    <row r="38" spans="3:10" x14ac:dyDescent="0.2">
      <c r="D38" s="10" t="e">
        <f ca="1"/>
        <v>#VALUE!</v>
      </c>
      <c r="E38" s="10" t="e">
        <f ca="1">_xll.qlRateHelperQuoteName(D38)</f>
        <v>#NAME?</v>
      </c>
      <c r="F38" s="9" t="e">
        <f ca="1">_xll.qlRateHelperRate($D38)</f>
        <v>#NUM!</v>
      </c>
      <c r="G38" s="9" t="str">
        <f ca="1">IF(ISERROR(_xll.qlSwapRateHelperSpread($D38)),IF(ISERROR(_xll.qlFuturesRateHelperConvexityAdjustment($D38)),"--",_xll.qlFuturesRateHelperConvexityAdjustment($D38)),_xll.qlSwapRateHelperSpread($D38))</f>
        <v>--</v>
      </c>
      <c r="H38" s="8" t="e">
        <f ca="1">_xll.qlRateHelperEarliestDate($D38)</f>
        <v>#NUM!</v>
      </c>
      <c r="I38" s="7" t="e">
        <f ca="1">_xll.qlRateHelperLatestDate($D38)</f>
        <v>#NUM!</v>
      </c>
      <c r="J38" s="171" t="e">
        <f ca="1"/>
        <v>#NUM!</v>
      </c>
    </row>
    <row r="39" spans="3:10" x14ac:dyDescent="0.2">
      <c r="D39" s="10" t="e">
        <f ca="1"/>
        <v>#VALUE!</v>
      </c>
      <c r="E39" s="10" t="e">
        <f ca="1">_xll.qlRateHelperQuoteName(D39)</f>
        <v>#NAME?</v>
      </c>
      <c r="F39" s="9" t="e">
        <f ca="1">_xll.qlRateHelperRate($D39)</f>
        <v>#NUM!</v>
      </c>
      <c r="G39" s="9" t="str">
        <f ca="1">IF(ISERROR(_xll.qlSwapRateHelperSpread($D39)),IF(ISERROR(_xll.qlFuturesRateHelperConvexityAdjustment($D39)),"--",_xll.qlFuturesRateHelperConvexityAdjustment($D39)),_xll.qlSwapRateHelperSpread($D39))</f>
        <v>--</v>
      </c>
      <c r="H39" s="8" t="e">
        <f ca="1">_xll.qlRateHelperEarliestDate($D39)</f>
        <v>#NUM!</v>
      </c>
      <c r="I39" s="7" t="e">
        <f ca="1">_xll.qlRateHelperLatestDate($D39)</f>
        <v>#NUM!</v>
      </c>
      <c r="J39" s="171" t="e">
        <f ca="1"/>
        <v>#NUM!</v>
      </c>
    </row>
    <row r="40" spans="3:10" x14ac:dyDescent="0.2">
      <c r="D40" s="10" t="e">
        <f ca="1"/>
        <v>#VALUE!</v>
      </c>
      <c r="E40" s="10" t="e">
        <f ca="1">_xll.qlRateHelperQuoteName(D40)</f>
        <v>#NAME?</v>
      </c>
      <c r="F40" s="9" t="e">
        <f ca="1">_xll.qlRateHelperRate($D40)</f>
        <v>#NUM!</v>
      </c>
      <c r="G40" s="9" t="str">
        <f ca="1">IF(ISERROR(_xll.qlSwapRateHelperSpread($D40)),IF(ISERROR(_xll.qlFuturesRateHelperConvexityAdjustment($D40)),"--",_xll.qlFuturesRateHelperConvexityAdjustment($D40)),_xll.qlSwapRateHelperSpread($D40))</f>
        <v>--</v>
      </c>
      <c r="H40" s="8" t="e">
        <f ca="1">_xll.qlRateHelperEarliestDate($D40)</f>
        <v>#NUM!</v>
      </c>
      <c r="I40" s="7" t="e">
        <f ca="1">_xll.qlRateHelperLatestDate($D40)</f>
        <v>#NUM!</v>
      </c>
      <c r="J40" s="171" t="e">
        <f ca="1"/>
        <v>#NUM!</v>
      </c>
    </row>
    <row r="41" spans="3:10" x14ac:dyDescent="0.2">
      <c r="D41" s="10" t="e">
        <f ca="1"/>
        <v>#VALUE!</v>
      </c>
      <c r="E41" s="10" t="e">
        <f ca="1">_xll.qlRateHelperQuoteName(D41)</f>
        <v>#NAME?</v>
      </c>
      <c r="F41" s="9" t="e">
        <f ca="1">_xll.qlRateHelperRate($D41)</f>
        <v>#NUM!</v>
      </c>
      <c r="G41" s="9" t="str">
        <f ca="1">IF(ISERROR(_xll.qlSwapRateHelperSpread($D41)),IF(ISERROR(_xll.qlFuturesRateHelperConvexityAdjustment($D41)),"--",_xll.qlFuturesRateHelperConvexityAdjustment($D41)),_xll.qlSwapRateHelperSpread($D41))</f>
        <v>--</v>
      </c>
      <c r="H41" s="8" t="e">
        <f ca="1">_xll.qlRateHelperEarliestDate($D41)</f>
        <v>#NUM!</v>
      </c>
      <c r="I41" s="7" t="e">
        <f ca="1">_xll.qlRateHelperLatestDate($D41)</f>
        <v>#NUM!</v>
      </c>
      <c r="J41" s="171" t="e">
        <f ca="1"/>
        <v>#NUM!</v>
      </c>
    </row>
    <row r="42" spans="3:10" x14ac:dyDescent="0.2">
      <c r="D42" s="10" t="e">
        <f ca="1"/>
        <v>#VALUE!</v>
      </c>
      <c r="E42" s="10" t="e">
        <f ca="1">_xll.qlRateHelperQuoteName(D42)</f>
        <v>#NAME?</v>
      </c>
      <c r="F42" s="9" t="e">
        <f ca="1">_xll.qlRateHelperRate($D42)</f>
        <v>#NUM!</v>
      </c>
      <c r="G42" s="9" t="str">
        <f ca="1">IF(ISERROR(_xll.qlSwapRateHelperSpread($D42)),IF(ISERROR(_xll.qlFuturesRateHelperConvexityAdjustment($D42)),"--",_xll.qlFuturesRateHelperConvexityAdjustment($D42)),_xll.qlSwapRateHelperSpread($D42))</f>
        <v>--</v>
      </c>
      <c r="H42" s="8" t="e">
        <f ca="1">_xll.qlRateHelperEarliestDate($D42)</f>
        <v>#NUM!</v>
      </c>
      <c r="I42" s="7" t="e">
        <f ca="1">_xll.qlRateHelperLatestDate($D42)</f>
        <v>#NUM!</v>
      </c>
      <c r="J42" s="171" t="e">
        <f ca="1"/>
        <v>#NUM!</v>
      </c>
    </row>
    <row r="43" spans="3:10" x14ac:dyDescent="0.2">
      <c r="D43" s="10" t="e">
        <f ca="1"/>
        <v>#VALUE!</v>
      </c>
      <c r="E43" s="10" t="e">
        <f ca="1">_xll.qlRateHelperQuoteName(D43)</f>
        <v>#NAME?</v>
      </c>
      <c r="F43" s="9" t="e">
        <f ca="1">_xll.qlRateHelperRate($D43)</f>
        <v>#NUM!</v>
      </c>
      <c r="G43" s="9" t="str">
        <f ca="1">IF(ISERROR(_xll.qlSwapRateHelperSpread($D43)),IF(ISERROR(_xll.qlFuturesRateHelperConvexityAdjustment($D43)),"--",_xll.qlFuturesRateHelperConvexityAdjustment($D43)),_xll.qlSwapRateHelperSpread($D43))</f>
        <v>--</v>
      </c>
      <c r="H43" s="8" t="e">
        <f ca="1">_xll.qlRateHelperEarliestDate($D43)</f>
        <v>#NUM!</v>
      </c>
      <c r="I43" s="7" t="e">
        <f ca="1">_xll.qlRateHelperLatestDate($D43)</f>
        <v>#NUM!</v>
      </c>
      <c r="J43" s="171" t="e">
        <f ca="1"/>
        <v>#NUM!</v>
      </c>
    </row>
    <row r="44" spans="3:10" x14ac:dyDescent="0.2">
      <c r="D44" s="10" t="e">
        <f ca="1"/>
        <v>#VALUE!</v>
      </c>
      <c r="E44" s="10" t="e">
        <f ca="1">_xll.qlRateHelperQuoteName(D44)</f>
        <v>#NAME?</v>
      </c>
      <c r="F44" s="9" t="e">
        <f ca="1">_xll.qlRateHelperRate($D44)</f>
        <v>#NUM!</v>
      </c>
      <c r="G44" s="9" t="str">
        <f ca="1">IF(ISERROR(_xll.qlSwapRateHelperSpread($D44)),IF(ISERROR(_xll.qlFuturesRateHelperConvexityAdjustment($D44)),"--",_xll.qlFuturesRateHelperConvexityAdjustment($D44)),_xll.qlSwapRateHelperSpread($D44))</f>
        <v>--</v>
      </c>
      <c r="H44" s="8" t="e">
        <f ca="1">_xll.qlRateHelperEarliestDate($D44)</f>
        <v>#NUM!</v>
      </c>
      <c r="I44" s="7" t="e">
        <f ca="1">_xll.qlRateHelperLatestDate($D44)</f>
        <v>#NUM!</v>
      </c>
      <c r="J44" s="171" t="e">
        <f ca="1"/>
        <v>#NUM!</v>
      </c>
    </row>
    <row r="45" spans="3:10" x14ac:dyDescent="0.2">
      <c r="D45" s="10" t="e">
        <f ca="1"/>
        <v>#VALUE!</v>
      </c>
      <c r="E45" s="10" t="e">
        <f ca="1">_xll.qlRateHelperQuoteName(D45)</f>
        <v>#NAME?</v>
      </c>
      <c r="F45" s="9" t="e">
        <f ca="1">_xll.qlRateHelperRate($D45)</f>
        <v>#NUM!</v>
      </c>
      <c r="G45" s="9" t="str">
        <f ca="1">IF(ISERROR(_xll.qlSwapRateHelperSpread($D45)),IF(ISERROR(_xll.qlFuturesRateHelperConvexityAdjustment($D45)),"--",_xll.qlFuturesRateHelperConvexityAdjustment($D45)),_xll.qlSwapRateHelperSpread($D45))</f>
        <v>--</v>
      </c>
      <c r="H45" s="8" t="e">
        <f ca="1">_xll.qlRateHelperEarliestDate($D45)</f>
        <v>#NUM!</v>
      </c>
      <c r="I45" s="7" t="e">
        <f ca="1">_xll.qlRateHelperLatestDate($D45)</f>
        <v>#NUM!</v>
      </c>
      <c r="J45" s="171" t="e">
        <f ca="1"/>
        <v>#NUM!</v>
      </c>
    </row>
    <row r="46" spans="3:10" x14ac:dyDescent="0.2">
      <c r="D46" s="10" t="e">
        <f ca="1"/>
        <v>#VALUE!</v>
      </c>
      <c r="E46" s="10" t="e">
        <f ca="1">_xll.qlRateHelperQuoteName(D46)</f>
        <v>#NAME?</v>
      </c>
      <c r="F46" s="9" t="e">
        <f ca="1">_xll.qlRateHelperRate($D46)</f>
        <v>#NUM!</v>
      </c>
      <c r="G46" s="9" t="str">
        <f ca="1">IF(ISERROR(_xll.qlSwapRateHelperSpread($D46)),IF(ISERROR(_xll.qlFuturesRateHelperConvexityAdjustment($D46)),"--",_xll.qlFuturesRateHelperConvexityAdjustment($D46)),_xll.qlSwapRateHelperSpread($D46))</f>
        <v>--</v>
      </c>
      <c r="H46" s="8" t="e">
        <f ca="1">_xll.qlRateHelperEarliestDate($D46)</f>
        <v>#NUM!</v>
      </c>
      <c r="I46" s="7" t="e">
        <f ca="1">_xll.qlRateHelperLatestDate($D46)</f>
        <v>#NUM!</v>
      </c>
      <c r="J46" s="171" t="e">
        <f ca="1"/>
        <v>#NUM!</v>
      </c>
    </row>
    <row r="47" spans="3:10" x14ac:dyDescent="0.2">
      <c r="D47" s="10" t="e">
        <f ca="1"/>
        <v>#VALUE!</v>
      </c>
      <c r="E47" s="10" t="e">
        <f ca="1">_xll.qlRateHelperQuoteName(D47)</f>
        <v>#NAME?</v>
      </c>
      <c r="F47" s="9" t="e">
        <f ca="1">_xll.qlRateHelperRate($D47)</f>
        <v>#NUM!</v>
      </c>
      <c r="G47" s="9" t="str">
        <f ca="1">IF(ISERROR(_xll.qlSwapRateHelperSpread($D47)),IF(ISERROR(_xll.qlFuturesRateHelperConvexityAdjustment($D47)),"--",_xll.qlFuturesRateHelperConvexityAdjustment($D47)),_xll.qlSwapRateHelperSpread($D47))</f>
        <v>--</v>
      </c>
      <c r="H47" s="8" t="e">
        <f ca="1">_xll.qlRateHelperEarliestDate($D47)</f>
        <v>#NUM!</v>
      </c>
      <c r="I47" s="7" t="e">
        <f ca="1">_xll.qlRateHelperLatestDate($D47)</f>
        <v>#NUM!</v>
      </c>
      <c r="J47" s="171" t="e">
        <f ca="1"/>
        <v>#NUM!</v>
      </c>
    </row>
    <row r="48" spans="3:10" x14ac:dyDescent="0.2">
      <c r="D48" s="10" t="e">
        <f ca="1"/>
        <v>#VALUE!</v>
      </c>
      <c r="E48" s="10" t="e">
        <f ca="1">_xll.qlRateHelperQuoteName(D48)</f>
        <v>#NAME?</v>
      </c>
      <c r="F48" s="9" t="e">
        <f ca="1">_xll.qlRateHelperRate($D48)</f>
        <v>#NUM!</v>
      </c>
      <c r="G48" s="9" t="str">
        <f ca="1">IF(ISERROR(_xll.qlSwapRateHelperSpread($D48)),IF(ISERROR(_xll.qlFuturesRateHelperConvexityAdjustment($D48)),"--",_xll.qlFuturesRateHelperConvexityAdjustment($D48)),_xll.qlSwapRateHelperSpread($D48))</f>
        <v>--</v>
      </c>
      <c r="H48" s="8" t="e">
        <f ca="1">_xll.qlRateHelperEarliestDate($D48)</f>
        <v>#NUM!</v>
      </c>
      <c r="I48" s="7" t="e">
        <f ca="1">_xll.qlRateHelperLatestDate($D48)</f>
        <v>#NUM!</v>
      </c>
      <c r="J48" s="171" t="e">
        <f ca="1"/>
        <v>#NUM!</v>
      </c>
    </row>
    <row r="49" spans="4:10" x14ac:dyDescent="0.2">
      <c r="D49" s="10" t="e">
        <f ca="1"/>
        <v>#VALUE!</v>
      </c>
      <c r="E49" s="10" t="e">
        <f ca="1">_xll.qlRateHelperQuoteName(D49)</f>
        <v>#NAME?</v>
      </c>
      <c r="F49" s="9" t="e">
        <f ca="1">_xll.qlRateHelperRate($D49)</f>
        <v>#NUM!</v>
      </c>
      <c r="G49" s="9" t="str">
        <f ca="1">IF(ISERROR(_xll.qlSwapRateHelperSpread($D49)),IF(ISERROR(_xll.qlFuturesRateHelperConvexityAdjustment($D49)),"--",_xll.qlFuturesRateHelperConvexityAdjustment($D49)),_xll.qlSwapRateHelperSpread($D49))</f>
        <v>--</v>
      </c>
      <c r="H49" s="8" t="e">
        <f ca="1">_xll.qlRateHelperEarliestDate($D49)</f>
        <v>#NUM!</v>
      </c>
      <c r="I49" s="7" t="e">
        <f ca="1">_xll.qlRateHelperLatestDate($D49)</f>
        <v>#NUM!</v>
      </c>
      <c r="J49" s="171" t="e">
        <f ca="1"/>
        <v>#NUM!</v>
      </c>
    </row>
    <row r="50" spans="4:10" x14ac:dyDescent="0.2">
      <c r="D50" s="10" t="e">
        <f ca="1"/>
        <v>#VALUE!</v>
      </c>
      <c r="E50" s="10" t="e">
        <f ca="1">_xll.qlRateHelperQuoteName(D50)</f>
        <v>#NAME?</v>
      </c>
      <c r="F50" s="9" t="e">
        <f ca="1">_xll.qlRateHelperRate($D50)</f>
        <v>#NUM!</v>
      </c>
      <c r="G50" s="9" t="str">
        <f ca="1">IF(ISERROR(_xll.qlSwapRateHelperSpread($D50)),IF(ISERROR(_xll.qlFuturesRateHelperConvexityAdjustment($D50)),"--",_xll.qlFuturesRateHelperConvexityAdjustment($D50)),_xll.qlSwapRateHelperSpread($D50))</f>
        <v>--</v>
      </c>
      <c r="H50" s="8" t="e">
        <f ca="1">_xll.qlRateHelperEarliestDate($D50)</f>
        <v>#NUM!</v>
      </c>
      <c r="I50" s="7" t="e">
        <f ca="1">_xll.qlRateHelperLatestDate($D50)</f>
        <v>#NUM!</v>
      </c>
      <c r="J50" s="171" t="e">
        <f ca="1"/>
        <v>#NUM!</v>
      </c>
    </row>
    <row r="51" spans="4:10" x14ac:dyDescent="0.2">
      <c r="D51" s="10" t="e">
        <f ca="1"/>
        <v>#VALUE!</v>
      </c>
      <c r="E51" s="10" t="e">
        <f ca="1">_xll.qlRateHelperQuoteName(D51)</f>
        <v>#NAME?</v>
      </c>
      <c r="F51" s="9" t="e">
        <f ca="1">_xll.qlRateHelperRate($D51)</f>
        <v>#NUM!</v>
      </c>
      <c r="G51" s="9" t="str">
        <f ca="1">IF(ISERROR(_xll.qlSwapRateHelperSpread($D51)),IF(ISERROR(_xll.qlFuturesRateHelperConvexityAdjustment($D51)),"--",_xll.qlFuturesRateHelperConvexityAdjustment($D51)),_xll.qlSwapRateHelperSpread($D51))</f>
        <v>--</v>
      </c>
      <c r="H51" s="8" t="e">
        <f ca="1">_xll.qlRateHelperEarliestDate($D51)</f>
        <v>#NUM!</v>
      </c>
      <c r="I51" s="7" t="e">
        <f ca="1">_xll.qlRateHelperLatestDate($D51)</f>
        <v>#NUM!</v>
      </c>
      <c r="J51" s="171" t="e">
        <f ca="1"/>
        <v>#NUM!</v>
      </c>
    </row>
    <row r="52" spans="4:10" x14ac:dyDescent="0.2">
      <c r="D52" s="10" t="e">
        <f ca="1"/>
        <v>#VALUE!</v>
      </c>
      <c r="E52" s="10" t="e">
        <f ca="1">_xll.qlRateHelperQuoteName(D52)</f>
        <v>#NAME?</v>
      </c>
      <c r="F52" s="9" t="e">
        <f ca="1">_xll.qlRateHelperRate($D52)</f>
        <v>#NUM!</v>
      </c>
      <c r="G52" s="9" t="str">
        <f ca="1">IF(ISERROR(_xll.qlSwapRateHelperSpread($D52)),IF(ISERROR(_xll.qlFuturesRateHelperConvexityAdjustment($D52)),"--",_xll.qlFuturesRateHelperConvexityAdjustment($D52)),_xll.qlSwapRateHelperSpread($D52))</f>
        <v>--</v>
      </c>
      <c r="H52" s="8" t="e">
        <f ca="1">_xll.qlRateHelperEarliestDate($D52)</f>
        <v>#NUM!</v>
      </c>
      <c r="I52" s="7" t="e">
        <f ca="1">_xll.qlRateHelperLatestDate($D52)</f>
        <v>#NUM!</v>
      </c>
      <c r="J52" s="171" t="e">
        <f ca="1"/>
        <v>#NUM!</v>
      </c>
    </row>
    <row r="53" spans="4:10" x14ac:dyDescent="0.2">
      <c r="D53" s="10" t="e">
        <f ca="1"/>
        <v>#VALUE!</v>
      </c>
      <c r="E53" s="10" t="e">
        <f ca="1">_xll.qlRateHelperQuoteName(D53)</f>
        <v>#NAME?</v>
      </c>
      <c r="F53" s="9" t="e">
        <f ca="1">_xll.qlRateHelperRate($D53)</f>
        <v>#NUM!</v>
      </c>
      <c r="G53" s="9" t="str">
        <f ca="1">IF(ISERROR(_xll.qlSwapRateHelperSpread($D53)),IF(ISERROR(_xll.qlFuturesRateHelperConvexityAdjustment($D53)),"--",_xll.qlFuturesRateHelperConvexityAdjustment($D53)),_xll.qlSwapRateHelperSpread($D53))</f>
        <v>--</v>
      </c>
      <c r="H53" s="8" t="e">
        <f ca="1">_xll.qlRateHelperEarliestDate($D53)</f>
        <v>#NUM!</v>
      </c>
      <c r="I53" s="7" t="e">
        <f ca="1">_xll.qlRateHelperLatestDate($D53)</f>
        <v>#NUM!</v>
      </c>
      <c r="J53" s="171" t="e">
        <f ca="1"/>
        <v>#NUM!</v>
      </c>
    </row>
    <row r="54" spans="4:10" x14ac:dyDescent="0.2">
      <c r="D54" s="10" t="e">
        <f ca="1"/>
        <v>#VALUE!</v>
      </c>
      <c r="E54" s="10" t="e">
        <f ca="1">_xll.qlRateHelperQuoteName(D54)</f>
        <v>#NAME?</v>
      </c>
      <c r="F54" s="9" t="e">
        <f ca="1">_xll.qlRateHelperRate($D54)</f>
        <v>#NUM!</v>
      </c>
      <c r="G54" s="9" t="str">
        <f ca="1">IF(ISERROR(_xll.qlSwapRateHelperSpread($D54)),IF(ISERROR(_xll.qlFuturesRateHelperConvexityAdjustment($D54)),"--",_xll.qlFuturesRateHelperConvexityAdjustment($D54)),_xll.qlSwapRateHelperSpread($D54))</f>
        <v>--</v>
      </c>
      <c r="H54" s="8" t="e">
        <f ca="1">_xll.qlRateHelperEarliestDate($D54)</f>
        <v>#NUM!</v>
      </c>
      <c r="I54" s="7" t="e">
        <f ca="1">_xll.qlRateHelperLatestDate($D54)</f>
        <v>#NUM!</v>
      </c>
      <c r="J54" s="171" t="e">
        <f ca="1"/>
        <v>#NUM!</v>
      </c>
    </row>
    <row r="55" spans="4:10" x14ac:dyDescent="0.2">
      <c r="D55" s="10" t="e">
        <f ca="1"/>
        <v>#VALUE!</v>
      </c>
      <c r="E55" s="10" t="e">
        <f ca="1">_xll.qlRateHelperQuoteName(D55)</f>
        <v>#NAME?</v>
      </c>
      <c r="F55" s="9" t="e">
        <f ca="1">_xll.qlRateHelperRate($D55)</f>
        <v>#NUM!</v>
      </c>
      <c r="G55" s="9" t="str">
        <f ca="1">IF(ISERROR(_xll.qlSwapRateHelperSpread($D55)),IF(ISERROR(_xll.qlFuturesRateHelperConvexityAdjustment($D55)),"--",_xll.qlFuturesRateHelperConvexityAdjustment($D55)),_xll.qlSwapRateHelperSpread($D55))</f>
        <v>--</v>
      </c>
      <c r="H55" s="8" t="e">
        <f ca="1">_xll.qlRateHelperEarliestDate($D55)</f>
        <v>#NUM!</v>
      </c>
      <c r="I55" s="7" t="e">
        <f ca="1">_xll.qlRateHelperLatestDate($D55)</f>
        <v>#NUM!</v>
      </c>
      <c r="J55" s="171" t="e">
        <f ca="1"/>
        <v>#NUM!</v>
      </c>
    </row>
    <row r="56" spans="4:10" x14ac:dyDescent="0.2">
      <c r="D56" s="10" t="e">
        <f ca="1"/>
        <v>#VALUE!</v>
      </c>
      <c r="E56" s="10" t="e">
        <f ca="1">_xll.qlRateHelperQuoteName(D56)</f>
        <v>#NAME?</v>
      </c>
      <c r="F56" s="9" t="e">
        <f ca="1">_xll.qlRateHelperRate($D56)</f>
        <v>#NUM!</v>
      </c>
      <c r="G56" s="9" t="str">
        <f ca="1">IF(ISERROR(_xll.qlSwapRateHelperSpread($D56)),IF(ISERROR(_xll.qlFuturesRateHelperConvexityAdjustment($D56)),"--",_xll.qlFuturesRateHelperConvexityAdjustment($D56)),_xll.qlSwapRateHelperSpread($D56))</f>
        <v>--</v>
      </c>
      <c r="H56" s="8" t="e">
        <f ca="1">_xll.qlRateHelperEarliestDate($D56)</f>
        <v>#NUM!</v>
      </c>
      <c r="I56" s="7" t="e">
        <f ca="1">_xll.qlRateHelperLatestDate($D56)</f>
        <v>#NUM!</v>
      </c>
      <c r="J56" s="171" t="e">
        <f ca="1"/>
        <v>#NUM!</v>
      </c>
    </row>
    <row r="57" spans="4:10" x14ac:dyDescent="0.2">
      <c r="D57" s="10" t="e">
        <f ca="1"/>
        <v>#VALUE!</v>
      </c>
      <c r="E57" s="10" t="e">
        <f ca="1">_xll.qlRateHelperQuoteName(D57)</f>
        <v>#NAME?</v>
      </c>
      <c r="F57" s="9" t="e">
        <f ca="1">_xll.qlRateHelperRate($D57)</f>
        <v>#NUM!</v>
      </c>
      <c r="G57" s="9" t="str">
        <f ca="1">IF(ISERROR(_xll.qlSwapRateHelperSpread($D57)),IF(ISERROR(_xll.qlFuturesRateHelperConvexityAdjustment($D57)),"--",_xll.qlFuturesRateHelperConvexityAdjustment($D57)),_xll.qlSwapRateHelperSpread($D57))</f>
        <v>--</v>
      </c>
      <c r="H57" s="8" t="e">
        <f ca="1">_xll.qlRateHelperEarliestDate($D57)</f>
        <v>#NUM!</v>
      </c>
      <c r="I57" s="7" t="e">
        <f ca="1">_xll.qlRateHelperLatestDate($D57)</f>
        <v>#NUM!</v>
      </c>
      <c r="J57" s="171" t="e">
        <f ca="1"/>
        <v>#NUM!</v>
      </c>
    </row>
    <row r="58" spans="4:10" x14ac:dyDescent="0.2">
      <c r="D58" s="10" t="e">
        <f ca="1"/>
        <v>#VALUE!</v>
      </c>
      <c r="E58" s="10" t="e">
        <f ca="1">_xll.qlRateHelperQuoteName(D58)</f>
        <v>#NAME?</v>
      </c>
      <c r="F58" s="9" t="e">
        <f ca="1">_xll.qlRateHelperRate($D58)</f>
        <v>#NUM!</v>
      </c>
      <c r="G58" s="9" t="str">
        <f ca="1">IF(ISERROR(_xll.qlSwapRateHelperSpread($D58)),IF(ISERROR(_xll.qlFuturesRateHelperConvexityAdjustment($D58)),"--",_xll.qlFuturesRateHelperConvexityAdjustment($D58)),_xll.qlSwapRateHelperSpread($D58))</f>
        <v>--</v>
      </c>
      <c r="H58" s="8" t="e">
        <f ca="1">_xll.qlRateHelperEarliestDate($D58)</f>
        <v>#NUM!</v>
      </c>
      <c r="I58" s="7" t="e">
        <f ca="1">_xll.qlRateHelperLatestDate($D58)</f>
        <v>#NUM!</v>
      </c>
      <c r="J58" s="171" t="e">
        <f ca="1"/>
        <v>#NUM!</v>
      </c>
    </row>
    <row r="59" spans="4:10" x14ac:dyDescent="0.2">
      <c r="D59" s="10" t="e">
        <f ca="1"/>
        <v>#VALUE!</v>
      </c>
      <c r="E59" s="10" t="e">
        <f ca="1">_xll.qlRateHelperQuoteName(D59)</f>
        <v>#NAME?</v>
      </c>
      <c r="F59" s="9" t="e">
        <f ca="1">_xll.qlRateHelperRate($D59)</f>
        <v>#NUM!</v>
      </c>
      <c r="G59" s="9" t="str">
        <f ca="1">IF(ISERROR(_xll.qlSwapRateHelperSpread($D59)),IF(ISERROR(_xll.qlFuturesRateHelperConvexityAdjustment($D59)),"--",_xll.qlFuturesRateHelperConvexityAdjustment($D59)),_xll.qlSwapRateHelperSpread($D59))</f>
        <v>--</v>
      </c>
      <c r="H59" s="8" t="e">
        <f ca="1">_xll.qlRateHelperEarliestDate($D59)</f>
        <v>#NUM!</v>
      </c>
      <c r="I59" s="7" t="e">
        <f ca="1">_xll.qlRateHelperLatestDate($D59)</f>
        <v>#NUM!</v>
      </c>
      <c r="J59" s="171" t="e">
        <f ca="1"/>
        <v>#NUM!</v>
      </c>
    </row>
    <row r="60" spans="4:10" x14ac:dyDescent="0.2">
      <c r="D60" s="10" t="e">
        <f ca="1"/>
        <v>#VALUE!</v>
      </c>
      <c r="E60" s="10" t="e">
        <f ca="1">_xll.qlRateHelperQuoteName(D60)</f>
        <v>#NAME?</v>
      </c>
      <c r="F60" s="9" t="e">
        <f ca="1">_xll.qlRateHelperRate($D60)</f>
        <v>#NUM!</v>
      </c>
      <c r="G60" s="9" t="str">
        <f ca="1">IF(ISERROR(_xll.qlSwapRateHelperSpread($D60)),IF(ISERROR(_xll.qlFuturesRateHelperConvexityAdjustment($D60)),"--",_xll.qlFuturesRateHelperConvexityAdjustment($D60)),_xll.qlSwapRateHelperSpread($D60))</f>
        <v>--</v>
      </c>
      <c r="H60" s="8" t="e">
        <f ca="1">_xll.qlRateHelperEarliestDate($D60)</f>
        <v>#NUM!</v>
      </c>
      <c r="I60" s="7" t="e">
        <f ca="1">_xll.qlRateHelperLatestDate($D60)</f>
        <v>#NUM!</v>
      </c>
      <c r="J60" s="171" t="e">
        <f ca="1"/>
        <v>#NUM!</v>
      </c>
    </row>
    <row r="61" spans="4:10" x14ac:dyDescent="0.2">
      <c r="D61" s="10" t="e">
        <f ca="1"/>
        <v>#VALUE!</v>
      </c>
      <c r="E61" s="10" t="e">
        <f ca="1">_xll.qlRateHelperQuoteName(D61)</f>
        <v>#NAME?</v>
      </c>
      <c r="F61" s="9" t="e">
        <f ca="1">_xll.qlRateHelperRate($D61)</f>
        <v>#NUM!</v>
      </c>
      <c r="G61" s="9" t="str">
        <f ca="1">IF(ISERROR(_xll.qlSwapRateHelperSpread($D61)),IF(ISERROR(_xll.qlFuturesRateHelperConvexityAdjustment($D61)),"--",_xll.qlFuturesRateHelperConvexityAdjustment($D61)),_xll.qlSwapRateHelperSpread($D61))</f>
        <v>--</v>
      </c>
      <c r="H61" s="8" t="e">
        <f ca="1">_xll.qlRateHelperEarliestDate($D61)</f>
        <v>#NUM!</v>
      </c>
      <c r="I61" s="7" t="e">
        <f ca="1">_xll.qlRateHelperLatestDate($D61)</f>
        <v>#NUM!</v>
      </c>
      <c r="J61" s="171" t="e">
        <f ca="1"/>
        <v>#NUM!</v>
      </c>
    </row>
    <row r="62" spans="4:10" x14ac:dyDescent="0.2">
      <c r="D62" s="10" t="e">
        <f ca="1"/>
        <v>#VALUE!</v>
      </c>
      <c r="E62" s="10" t="e">
        <f ca="1">_xll.qlRateHelperQuoteName(D62)</f>
        <v>#NAME?</v>
      </c>
      <c r="F62" s="9" t="e">
        <f ca="1">_xll.qlRateHelperRate($D62)</f>
        <v>#NUM!</v>
      </c>
      <c r="G62" s="9" t="str">
        <f ca="1">IF(ISERROR(_xll.qlSwapRateHelperSpread($D62)),IF(ISERROR(_xll.qlFuturesRateHelperConvexityAdjustment($D62)),"--",_xll.qlFuturesRateHelperConvexityAdjustment($D62)),_xll.qlSwapRateHelperSpread($D62))</f>
        <v>--</v>
      </c>
      <c r="H62" s="8" t="e">
        <f ca="1">_xll.qlRateHelperEarliestDate($D62)</f>
        <v>#NUM!</v>
      </c>
      <c r="I62" s="7" t="e">
        <f ca="1">_xll.qlRateHelperLatestDate($D62)</f>
        <v>#NUM!</v>
      </c>
      <c r="J62" s="171" t="e">
        <f ca="1"/>
        <v>#NUM!</v>
      </c>
    </row>
    <row r="63" spans="4:10" x14ac:dyDescent="0.2">
      <c r="D63" s="10" t="e">
        <f ca="1"/>
        <v>#VALUE!</v>
      </c>
      <c r="E63" s="10" t="e">
        <f ca="1">_xll.qlRateHelperQuoteName(D63)</f>
        <v>#NAME?</v>
      </c>
      <c r="F63" s="9" t="e">
        <f ca="1">_xll.qlRateHelperRate($D63)</f>
        <v>#NUM!</v>
      </c>
      <c r="G63" s="9" t="str">
        <f ca="1">IF(ISERROR(_xll.qlSwapRateHelperSpread($D63)),IF(ISERROR(_xll.qlFuturesRateHelperConvexityAdjustment($D63)),"--",_xll.qlFuturesRateHelperConvexityAdjustment($D63)),_xll.qlSwapRateHelperSpread($D63))</f>
        <v>--</v>
      </c>
      <c r="H63" s="8" t="e">
        <f ca="1">_xll.qlRateHelperEarliestDate($D63)</f>
        <v>#NUM!</v>
      </c>
      <c r="I63" s="7" t="e">
        <f ca="1">_xll.qlRateHelperLatestDate($D63)</f>
        <v>#NUM!</v>
      </c>
      <c r="J63" s="171" t="e">
        <f ca="1"/>
        <v>#NUM!</v>
      </c>
    </row>
    <row r="64" spans="4:10" x14ac:dyDescent="0.2">
      <c r="D64" s="10" t="e">
        <f ca="1"/>
        <v>#VALUE!</v>
      </c>
      <c r="E64" s="10" t="e">
        <f ca="1">_xll.qlRateHelperQuoteName(D64)</f>
        <v>#NAME?</v>
      </c>
      <c r="F64" s="9" t="e">
        <f ca="1">_xll.qlRateHelperRate($D64)</f>
        <v>#NUM!</v>
      </c>
      <c r="G64" s="9" t="str">
        <f ca="1">IF(ISERROR(_xll.qlSwapRateHelperSpread($D64)),IF(ISERROR(_xll.qlFuturesRateHelperConvexityAdjustment($D64)),"--",_xll.qlFuturesRateHelperConvexityAdjustment($D64)),_xll.qlSwapRateHelperSpread($D64))</f>
        <v>--</v>
      </c>
      <c r="H64" s="8" t="e">
        <f ca="1">_xll.qlRateHelperEarliestDate($D64)</f>
        <v>#NUM!</v>
      </c>
      <c r="I64" s="7" t="e">
        <f ca="1">_xll.qlRateHelperLatestDate($D64)</f>
        <v>#NUM!</v>
      </c>
      <c r="J64" s="171" t="e">
        <f ca="1"/>
        <v>#NUM!</v>
      </c>
    </row>
    <row r="65" spans="4:10" x14ac:dyDescent="0.2">
      <c r="D65" s="10" t="e">
        <f ca="1"/>
        <v>#VALUE!</v>
      </c>
      <c r="E65" s="10" t="e">
        <f ca="1">_xll.qlRateHelperQuoteName(D65)</f>
        <v>#NAME?</v>
      </c>
      <c r="F65" s="9" t="e">
        <f ca="1">_xll.qlRateHelperRate($D65)</f>
        <v>#NUM!</v>
      </c>
      <c r="G65" s="9" t="str">
        <f ca="1">IF(ISERROR(_xll.qlSwapRateHelperSpread($D65)),IF(ISERROR(_xll.qlFuturesRateHelperConvexityAdjustment($D65)),"--",_xll.qlFuturesRateHelperConvexityAdjustment($D65)),_xll.qlSwapRateHelperSpread($D65))</f>
        <v>--</v>
      </c>
      <c r="H65" s="8" t="e">
        <f ca="1">_xll.qlRateHelperEarliestDate($D65)</f>
        <v>#NUM!</v>
      </c>
      <c r="I65" s="7" t="e">
        <f ca="1">_xll.qlRateHelperLatestDate($D65)</f>
        <v>#NUM!</v>
      </c>
      <c r="J65" s="171" t="e">
        <f ca="1"/>
        <v>#NUM!</v>
      </c>
    </row>
    <row r="66" spans="4:10" x14ac:dyDescent="0.2">
      <c r="D66" s="10" t="e">
        <f ca="1"/>
        <v>#VALUE!</v>
      </c>
      <c r="E66" s="10" t="e">
        <f ca="1">_xll.qlRateHelperQuoteName(D66)</f>
        <v>#NAME?</v>
      </c>
      <c r="F66" s="9" t="e">
        <f ca="1">_xll.qlRateHelperRate($D66)</f>
        <v>#NUM!</v>
      </c>
      <c r="G66" s="9" t="str">
        <f ca="1">IF(ISERROR(_xll.qlSwapRateHelperSpread($D66)),IF(ISERROR(_xll.qlFuturesRateHelperConvexityAdjustment($D66)),"--",_xll.qlFuturesRateHelperConvexityAdjustment($D66)),_xll.qlSwapRateHelperSpread($D66))</f>
        <v>--</v>
      </c>
      <c r="H66" s="8" t="e">
        <f ca="1">_xll.qlRateHelperEarliestDate($D66)</f>
        <v>#NUM!</v>
      </c>
      <c r="I66" s="7" t="e">
        <f ca="1">_xll.qlRateHelperLatestDate($D66)</f>
        <v>#NUM!</v>
      </c>
      <c r="J66" s="171" t="e">
        <f ca="1"/>
        <v>#NUM!</v>
      </c>
    </row>
    <row r="67" spans="4:10" x14ac:dyDescent="0.2">
      <c r="D67" s="10" t="e">
        <f ca="1"/>
        <v>#VALUE!</v>
      </c>
      <c r="E67" s="10" t="e">
        <f ca="1">_xll.qlRateHelperQuoteName(D67)</f>
        <v>#NAME?</v>
      </c>
      <c r="F67" s="9" t="e">
        <f ca="1">_xll.qlRateHelperRate($D67)</f>
        <v>#NUM!</v>
      </c>
      <c r="G67" s="9" t="str">
        <f ca="1">IF(ISERROR(_xll.qlSwapRateHelperSpread($D67)),IF(ISERROR(_xll.qlFuturesRateHelperConvexityAdjustment($D67)),"--",_xll.qlFuturesRateHelperConvexityAdjustment($D67)),_xll.qlSwapRateHelperSpread($D67))</f>
        <v>--</v>
      </c>
      <c r="H67" s="8" t="e">
        <f ca="1">_xll.qlRateHelperEarliestDate($D67)</f>
        <v>#NUM!</v>
      </c>
      <c r="I67" s="7" t="e">
        <f ca="1">_xll.qlRateHelperLatestDate($D67)</f>
        <v>#NUM!</v>
      </c>
      <c r="J67" s="171" t="e">
        <f ca="1"/>
        <v>#NUM!</v>
      </c>
    </row>
    <row r="68" spans="4:10" x14ac:dyDescent="0.2">
      <c r="D68" s="10" t="e">
        <f ca="1"/>
        <v>#VALUE!</v>
      </c>
      <c r="E68" s="10" t="e">
        <f ca="1">_xll.qlRateHelperQuoteName(D68)</f>
        <v>#NAME?</v>
      </c>
      <c r="F68" s="9" t="e">
        <f ca="1">_xll.qlRateHelperRate($D68)</f>
        <v>#NUM!</v>
      </c>
      <c r="G68" s="9" t="str">
        <f ca="1">IF(ISERROR(_xll.qlSwapRateHelperSpread($D68)),IF(ISERROR(_xll.qlFuturesRateHelperConvexityAdjustment($D68)),"--",_xll.qlFuturesRateHelperConvexityAdjustment($D68)),_xll.qlSwapRateHelperSpread($D68))</f>
        <v>--</v>
      </c>
      <c r="H68" s="8" t="e">
        <f ca="1">_xll.qlRateHelperEarliestDate($D68)</f>
        <v>#NUM!</v>
      </c>
      <c r="I68" s="7" t="e">
        <f ca="1">_xll.qlRateHelperLatestDate($D68)</f>
        <v>#NUM!</v>
      </c>
      <c r="J68" s="171" t="e">
        <f ca="1"/>
        <v>#NUM!</v>
      </c>
    </row>
    <row r="69" spans="4:10" x14ac:dyDescent="0.2">
      <c r="D69" s="10" t="e">
        <f ca="1"/>
        <v>#VALUE!</v>
      </c>
      <c r="E69" s="10" t="e">
        <f ca="1">_xll.qlRateHelperQuoteName(D69)</f>
        <v>#NAME?</v>
      </c>
      <c r="F69" s="9" t="e">
        <f ca="1">_xll.qlRateHelperRate($D69)</f>
        <v>#NUM!</v>
      </c>
      <c r="G69" s="9" t="str">
        <f ca="1">IF(ISERROR(_xll.qlSwapRateHelperSpread($D69)),IF(ISERROR(_xll.qlFuturesRateHelperConvexityAdjustment($D69)),"--",_xll.qlFuturesRateHelperConvexityAdjustment($D69)),_xll.qlSwapRateHelperSpread($D69))</f>
        <v>--</v>
      </c>
      <c r="H69" s="8" t="e">
        <f ca="1">_xll.qlRateHelperEarliestDate($D69)</f>
        <v>#NUM!</v>
      </c>
      <c r="I69" s="7" t="e">
        <f ca="1">_xll.qlRateHelperLatestDate($D69)</f>
        <v>#NUM!</v>
      </c>
      <c r="J69" s="171" t="e">
        <f ca="1"/>
        <v>#NUM!</v>
      </c>
    </row>
    <row r="70" spans="4:10" x14ac:dyDescent="0.2">
      <c r="D70" s="10" t="e">
        <f ca="1"/>
        <v>#VALUE!</v>
      </c>
      <c r="E70" s="10" t="e">
        <f ca="1">_xll.qlRateHelperQuoteName(D70)</f>
        <v>#NAME?</v>
      </c>
      <c r="F70" s="9" t="e">
        <f ca="1">_xll.qlRateHelperRate($D70)</f>
        <v>#NUM!</v>
      </c>
      <c r="G70" s="9" t="str">
        <f ca="1">IF(ISERROR(_xll.qlSwapRateHelperSpread($D70)),IF(ISERROR(_xll.qlFuturesRateHelperConvexityAdjustment($D70)),"--",_xll.qlFuturesRateHelperConvexityAdjustment($D70)),_xll.qlSwapRateHelperSpread($D70))</f>
        <v>--</v>
      </c>
      <c r="H70" s="8" t="e">
        <f ca="1">_xll.qlRateHelperEarliestDate($D70)</f>
        <v>#NUM!</v>
      </c>
      <c r="I70" s="7" t="e">
        <f ca="1">_xll.qlRateHelperLatestDate($D70)</f>
        <v>#NUM!</v>
      </c>
      <c r="J70" s="171" t="e">
        <f ca="1"/>
        <v>#NUM!</v>
      </c>
    </row>
    <row r="71" spans="4:10" x14ac:dyDescent="0.2">
      <c r="D71" s="10" t="e">
        <f ca="1"/>
        <v>#VALUE!</v>
      </c>
      <c r="E71" s="10" t="e">
        <f ca="1">_xll.qlRateHelperQuoteName(D71)</f>
        <v>#NAME?</v>
      </c>
      <c r="F71" s="9" t="e">
        <f ca="1">_xll.qlRateHelperRate($D71)</f>
        <v>#NUM!</v>
      </c>
      <c r="G71" s="9" t="str">
        <f ca="1">IF(ISERROR(_xll.qlSwapRateHelperSpread($D71)),IF(ISERROR(_xll.qlFuturesRateHelperConvexityAdjustment($D71)),"--",_xll.qlFuturesRateHelperConvexityAdjustment($D71)),_xll.qlSwapRateHelperSpread($D71))</f>
        <v>--</v>
      </c>
      <c r="H71" s="8" t="e">
        <f ca="1">_xll.qlRateHelperEarliestDate($D71)</f>
        <v>#NUM!</v>
      </c>
      <c r="I71" s="7" t="e">
        <f ca="1">_xll.qlRateHelperLatestDate($D71)</f>
        <v>#NUM!</v>
      </c>
      <c r="J71" s="171" t="e">
        <f ca="1"/>
        <v>#NUM!</v>
      </c>
    </row>
    <row r="72" spans="4:10" x14ac:dyDescent="0.2">
      <c r="D72" s="10" t="e">
        <f ca="1"/>
        <v>#VALUE!</v>
      </c>
      <c r="E72" s="10" t="e">
        <f ca="1">_xll.qlRateHelperQuoteName(D72)</f>
        <v>#NAME?</v>
      </c>
      <c r="F72" s="9" t="e">
        <f ca="1">_xll.qlRateHelperRate($D72)</f>
        <v>#NUM!</v>
      </c>
      <c r="G72" s="9" t="str">
        <f ca="1">IF(ISERROR(_xll.qlSwapRateHelperSpread($D72)),IF(ISERROR(_xll.qlFuturesRateHelperConvexityAdjustment($D72)),"--",_xll.qlFuturesRateHelperConvexityAdjustment($D72)),_xll.qlSwapRateHelperSpread($D72))</f>
        <v>--</v>
      </c>
      <c r="H72" s="8" t="e">
        <f ca="1">_xll.qlRateHelperEarliestDate($D72)</f>
        <v>#NUM!</v>
      </c>
      <c r="I72" s="7" t="e">
        <f ca="1">_xll.qlRateHelperLatestDate($D72)</f>
        <v>#NUM!</v>
      </c>
      <c r="J72" s="171" t="e">
        <f ca="1"/>
        <v>#NUM!</v>
      </c>
    </row>
    <row r="73" spans="4:10" x14ac:dyDescent="0.2">
      <c r="D73" s="10" t="e">
        <f ca="1"/>
        <v>#VALUE!</v>
      </c>
      <c r="E73" s="10" t="e">
        <f ca="1">_xll.qlRateHelperQuoteName(D73)</f>
        <v>#NAME?</v>
      </c>
      <c r="F73" s="9" t="e">
        <f ca="1">_xll.qlRateHelperRate($D73)</f>
        <v>#NUM!</v>
      </c>
      <c r="G73" s="9" t="str">
        <f ca="1">IF(ISERROR(_xll.qlSwapRateHelperSpread($D73)),IF(ISERROR(_xll.qlFuturesRateHelperConvexityAdjustment($D73)),"--",_xll.qlFuturesRateHelperConvexityAdjustment($D73)),_xll.qlSwapRateHelperSpread($D73))</f>
        <v>--</v>
      </c>
      <c r="H73" s="8" t="e">
        <f ca="1">_xll.qlRateHelperEarliestDate($D73)</f>
        <v>#NUM!</v>
      </c>
      <c r="I73" s="7" t="e">
        <f ca="1">_xll.qlRateHelperLatestDate($D73)</f>
        <v>#NUM!</v>
      </c>
      <c r="J73" s="171" t="e">
        <f ca="1"/>
        <v>#NUM!</v>
      </c>
    </row>
    <row r="74" spans="4:10" x14ac:dyDescent="0.2">
      <c r="D74" s="10" t="e">
        <f ca="1"/>
        <v>#VALUE!</v>
      </c>
      <c r="E74" s="10" t="e">
        <f ca="1">_xll.qlRateHelperQuoteName(D74)</f>
        <v>#NAME?</v>
      </c>
      <c r="F74" s="9" t="e">
        <f ca="1">_xll.qlRateHelperRate($D74)</f>
        <v>#NUM!</v>
      </c>
      <c r="G74" s="9" t="str">
        <f ca="1">IF(ISERROR(_xll.qlSwapRateHelperSpread($D74)),IF(ISERROR(_xll.qlFuturesRateHelperConvexityAdjustment($D74)),"--",_xll.qlFuturesRateHelperConvexityAdjustment($D74)),_xll.qlSwapRateHelperSpread($D74))</f>
        <v>--</v>
      </c>
      <c r="H74" s="8" t="e">
        <f ca="1">_xll.qlRateHelperEarliestDate($D74)</f>
        <v>#NUM!</v>
      </c>
      <c r="I74" s="7" t="e">
        <f ca="1">_xll.qlRateHelperLatestDate($D74)</f>
        <v>#NUM!</v>
      </c>
      <c r="J74" s="171" t="e">
        <f ca="1"/>
        <v>#NUM!</v>
      </c>
    </row>
    <row r="75" spans="4:10" x14ac:dyDescent="0.2">
      <c r="D75" s="10" t="e">
        <f ca="1"/>
        <v>#VALUE!</v>
      </c>
      <c r="E75" s="10" t="e">
        <f ca="1">_xll.qlRateHelperQuoteName(D75)</f>
        <v>#NAME?</v>
      </c>
      <c r="F75" s="9" t="e">
        <f ca="1">_xll.qlRateHelperRate($D75)</f>
        <v>#NUM!</v>
      </c>
      <c r="G75" s="9" t="str">
        <f ca="1">IF(ISERROR(_xll.qlSwapRateHelperSpread($D75)),IF(ISERROR(_xll.qlFuturesRateHelperConvexityAdjustment($D75)),"--",_xll.qlFuturesRateHelperConvexityAdjustment($D75)),_xll.qlSwapRateHelperSpread($D75))</f>
        <v>--</v>
      </c>
      <c r="H75" s="8" t="e">
        <f ca="1">_xll.qlRateHelperEarliestDate($D75)</f>
        <v>#NUM!</v>
      </c>
      <c r="I75" s="7" t="e">
        <f ca="1">_xll.qlRateHelperLatestDate($D75)</f>
        <v>#NUM!</v>
      </c>
      <c r="J75" s="171" t="e">
        <f ca="1"/>
        <v>#NUM!</v>
      </c>
    </row>
    <row r="76" spans="4:10" x14ac:dyDescent="0.2">
      <c r="D76" s="10" t="e">
        <f ca="1"/>
        <v>#VALUE!</v>
      </c>
      <c r="E76" s="10" t="e">
        <f ca="1">_xll.qlRateHelperQuoteName(D76)</f>
        <v>#NAME?</v>
      </c>
      <c r="F76" s="9" t="e">
        <f ca="1">_xll.qlRateHelperRate($D76)</f>
        <v>#NUM!</v>
      </c>
      <c r="G76" s="9" t="str">
        <f ca="1">IF(ISERROR(_xll.qlSwapRateHelperSpread($D76)),IF(ISERROR(_xll.qlFuturesRateHelperConvexityAdjustment($D76)),"--",_xll.qlFuturesRateHelperConvexityAdjustment($D76)),_xll.qlSwapRateHelperSpread($D76))</f>
        <v>--</v>
      </c>
      <c r="H76" s="8" t="e">
        <f ca="1">_xll.qlRateHelperEarliestDate($D76)</f>
        <v>#NUM!</v>
      </c>
      <c r="I76" s="7" t="e">
        <f ca="1">_xll.qlRateHelperLatestDate($D76)</f>
        <v>#NUM!</v>
      </c>
      <c r="J76" s="171" t="e">
        <f ca="1"/>
        <v>#NUM!</v>
      </c>
    </row>
    <row r="77" spans="4:10" x14ac:dyDescent="0.2">
      <c r="D77" s="10" t="e">
        <f ca="1"/>
        <v>#VALUE!</v>
      </c>
      <c r="E77" s="10" t="e">
        <f ca="1">_xll.qlRateHelperQuoteName(D77)</f>
        <v>#NAME?</v>
      </c>
      <c r="F77" s="9" t="e">
        <f ca="1">_xll.qlRateHelperRate($D77)</f>
        <v>#NUM!</v>
      </c>
      <c r="G77" s="9" t="str">
        <f ca="1">IF(ISERROR(_xll.qlSwapRateHelperSpread($D77)),IF(ISERROR(_xll.qlFuturesRateHelperConvexityAdjustment($D77)),"--",_xll.qlFuturesRateHelperConvexityAdjustment($D77)),_xll.qlSwapRateHelperSpread($D77))</f>
        <v>--</v>
      </c>
      <c r="H77" s="8" t="e">
        <f ca="1">_xll.qlRateHelperEarliestDate($D77)</f>
        <v>#NUM!</v>
      </c>
      <c r="I77" s="7" t="e">
        <f ca="1">_xll.qlRateHelperLatestDate($D77)</f>
        <v>#NUM!</v>
      </c>
      <c r="J77" s="171" t="e">
        <f ca="1"/>
        <v>#NUM!</v>
      </c>
    </row>
    <row r="78" spans="4:10" x14ac:dyDescent="0.2">
      <c r="D78" s="10" t="e">
        <f ca="1"/>
        <v>#VALUE!</v>
      </c>
      <c r="E78" s="10" t="e">
        <f ca="1">_xll.qlRateHelperQuoteName(D78)</f>
        <v>#NAME?</v>
      </c>
      <c r="F78" s="9" t="e">
        <f ca="1">_xll.qlRateHelperRate($D78)</f>
        <v>#NUM!</v>
      </c>
      <c r="G78" s="9" t="str">
        <f ca="1">IF(ISERROR(_xll.qlSwapRateHelperSpread($D78)),IF(ISERROR(_xll.qlFuturesRateHelperConvexityAdjustment($D78)),"--",_xll.qlFuturesRateHelperConvexityAdjustment($D78)),_xll.qlSwapRateHelperSpread($D78))</f>
        <v>--</v>
      </c>
      <c r="H78" s="8" t="e">
        <f ca="1">_xll.qlRateHelperEarliestDate($D78)</f>
        <v>#NUM!</v>
      </c>
      <c r="I78" s="7" t="e">
        <f ca="1">_xll.qlRateHelperLatestDate($D78)</f>
        <v>#NUM!</v>
      </c>
      <c r="J78" s="171" t="e">
        <f ca="1"/>
        <v>#NUM!</v>
      </c>
    </row>
    <row r="79" spans="4:10" x14ac:dyDescent="0.2">
      <c r="D79" s="10" t="e">
        <f ca="1"/>
        <v>#VALUE!</v>
      </c>
      <c r="E79" s="10" t="e">
        <f ca="1">_xll.qlRateHelperQuoteName(D79)</f>
        <v>#NAME?</v>
      </c>
      <c r="F79" s="9" t="e">
        <f ca="1">_xll.qlRateHelperRate($D79)</f>
        <v>#NUM!</v>
      </c>
      <c r="G79" s="9" t="str">
        <f ca="1">IF(ISERROR(_xll.qlSwapRateHelperSpread($D79)),IF(ISERROR(_xll.qlFuturesRateHelperConvexityAdjustment($D79)),"--",_xll.qlFuturesRateHelperConvexityAdjustment($D79)),_xll.qlSwapRateHelperSpread($D79))</f>
        <v>--</v>
      </c>
      <c r="H79" s="8" t="e">
        <f ca="1">_xll.qlRateHelperEarliestDate($D79)</f>
        <v>#NUM!</v>
      </c>
      <c r="I79" s="7" t="e">
        <f ca="1">_xll.qlRateHelperLatestDate($D79)</f>
        <v>#NUM!</v>
      </c>
      <c r="J79" s="171" t="e">
        <f ca="1"/>
        <v>#NUM!</v>
      </c>
    </row>
    <row r="80" spans="4:10" x14ac:dyDescent="0.2">
      <c r="D80" s="10" t="e">
        <f ca="1"/>
        <v>#VALUE!</v>
      </c>
      <c r="E80" s="10" t="e">
        <f ca="1">_xll.qlRateHelperQuoteName(D80)</f>
        <v>#NAME?</v>
      </c>
      <c r="F80" s="9" t="e">
        <f ca="1">_xll.qlRateHelperRate($D80)</f>
        <v>#NUM!</v>
      </c>
      <c r="G80" s="9" t="str">
        <f ca="1">IF(ISERROR(_xll.qlSwapRateHelperSpread($D80)),IF(ISERROR(_xll.qlFuturesRateHelperConvexityAdjustment($D80)),"--",_xll.qlFuturesRateHelperConvexityAdjustment($D80)),_xll.qlSwapRateHelperSpread($D80))</f>
        <v>--</v>
      </c>
      <c r="H80" s="8" t="e">
        <f ca="1">_xll.qlRateHelperEarliestDate($D80)</f>
        <v>#NUM!</v>
      </c>
      <c r="I80" s="7" t="e">
        <f ca="1">_xll.qlRateHelperLatestDate($D80)</f>
        <v>#NUM!</v>
      </c>
      <c r="J80" s="171" t="e">
        <f ca="1"/>
        <v>#NUM!</v>
      </c>
    </row>
    <row r="81" spans="4:10" x14ac:dyDescent="0.2">
      <c r="D81" s="10" t="e">
        <f ca="1"/>
        <v>#VALUE!</v>
      </c>
      <c r="E81" s="10" t="e">
        <f ca="1">_xll.qlRateHelperQuoteName(D81)</f>
        <v>#NAME?</v>
      </c>
      <c r="F81" s="9" t="e">
        <f ca="1">_xll.qlRateHelperRate($D81)</f>
        <v>#NUM!</v>
      </c>
      <c r="G81" s="9" t="str">
        <f ca="1">IF(ISERROR(_xll.qlSwapRateHelperSpread($D81)),IF(ISERROR(_xll.qlFuturesRateHelperConvexityAdjustment($D81)),"--",_xll.qlFuturesRateHelperConvexityAdjustment($D81)),_xll.qlSwapRateHelperSpread($D81))</f>
        <v>--</v>
      </c>
      <c r="H81" s="8" t="e">
        <f ca="1">_xll.qlRateHelperEarliestDate($D81)</f>
        <v>#NUM!</v>
      </c>
      <c r="I81" s="7" t="e">
        <f ca="1">_xll.qlRateHelperLatestDate($D81)</f>
        <v>#NUM!</v>
      </c>
      <c r="J81" s="171" t="e">
        <f ca="1"/>
        <v>#NUM!</v>
      </c>
    </row>
    <row r="82" spans="4:10" x14ac:dyDescent="0.2">
      <c r="D82" s="10" t="e">
        <f ca="1"/>
        <v>#VALUE!</v>
      </c>
      <c r="E82" s="10" t="e">
        <f ca="1">_xll.qlRateHelperQuoteName(D82)</f>
        <v>#NAME?</v>
      </c>
      <c r="F82" s="9" t="e">
        <f ca="1">_xll.qlRateHelperRate($D82)</f>
        <v>#NUM!</v>
      </c>
      <c r="G82" s="9" t="str">
        <f ca="1">IF(ISERROR(_xll.qlSwapRateHelperSpread($D82)),IF(ISERROR(_xll.qlFuturesRateHelperConvexityAdjustment($D82)),"--",_xll.qlFuturesRateHelperConvexityAdjustment($D82)),_xll.qlSwapRateHelperSpread($D82))</f>
        <v>--</v>
      </c>
      <c r="H82" s="8" t="e">
        <f ca="1">_xll.qlRateHelperEarliestDate($D82)</f>
        <v>#NUM!</v>
      </c>
      <c r="I82" s="7" t="e">
        <f ca="1">_xll.qlRateHelperLatestDate($D82)</f>
        <v>#NUM!</v>
      </c>
      <c r="J82" s="171" t="e">
        <f ca="1"/>
        <v>#NUM!</v>
      </c>
    </row>
    <row r="83" spans="4:10" x14ac:dyDescent="0.2">
      <c r="D83" s="10" t="e">
        <f ca="1"/>
        <v>#VALUE!</v>
      </c>
      <c r="E83" s="10" t="e">
        <f ca="1">_xll.qlRateHelperQuoteName(D83)</f>
        <v>#NAME?</v>
      </c>
      <c r="F83" s="9" t="e">
        <f ca="1">_xll.qlRateHelperRate($D83)</f>
        <v>#NUM!</v>
      </c>
      <c r="G83" s="9" t="str">
        <f ca="1">IF(ISERROR(_xll.qlSwapRateHelperSpread($D83)),IF(ISERROR(_xll.qlFuturesRateHelperConvexityAdjustment($D83)),"--",_xll.qlFuturesRateHelperConvexityAdjustment($D83)),_xll.qlSwapRateHelperSpread($D83))</f>
        <v>--</v>
      </c>
      <c r="H83" s="8" t="e">
        <f ca="1">_xll.qlRateHelperEarliestDate($D83)</f>
        <v>#NUM!</v>
      </c>
      <c r="I83" s="7" t="e">
        <f ca="1">_xll.qlRateHelperLatestDate($D83)</f>
        <v>#NUM!</v>
      </c>
      <c r="J83" s="171" t="e">
        <f ca="1"/>
        <v>#NUM!</v>
      </c>
    </row>
    <row r="84" spans="4:10" x14ac:dyDescent="0.2">
      <c r="D84" s="10" t="e">
        <f ca="1"/>
        <v>#VALUE!</v>
      </c>
      <c r="E84" s="10" t="e">
        <f ca="1">_xll.qlRateHelperQuoteName(D84)</f>
        <v>#NAME?</v>
      </c>
      <c r="F84" s="9" t="e">
        <f ca="1">_xll.qlRateHelperRate($D84)</f>
        <v>#NUM!</v>
      </c>
      <c r="G84" s="9" t="str">
        <f ca="1">IF(ISERROR(_xll.qlSwapRateHelperSpread($D84)),IF(ISERROR(_xll.qlFuturesRateHelperConvexityAdjustment($D84)),"--",_xll.qlFuturesRateHelperConvexityAdjustment($D84)),_xll.qlSwapRateHelperSpread($D84))</f>
        <v>--</v>
      </c>
      <c r="H84" s="8" t="e">
        <f ca="1">_xll.qlRateHelperEarliestDate($D84)</f>
        <v>#NUM!</v>
      </c>
      <c r="I84" s="7" t="e">
        <f ca="1">_xll.qlRateHelperLatestDate($D84)</f>
        <v>#NUM!</v>
      </c>
      <c r="J84" s="171" t="e">
        <f ca="1"/>
        <v>#NUM!</v>
      </c>
    </row>
    <row r="85" spans="4:10" x14ac:dyDescent="0.2">
      <c r="D85" s="10" t="e">
        <f ca="1"/>
        <v>#VALUE!</v>
      </c>
      <c r="E85" s="10" t="e">
        <f ca="1">_xll.qlRateHelperQuoteName(D85)</f>
        <v>#NAME?</v>
      </c>
      <c r="F85" s="9" t="e">
        <f ca="1">_xll.qlRateHelperRate($D85)</f>
        <v>#NUM!</v>
      </c>
      <c r="G85" s="9" t="str">
        <f ca="1">IF(ISERROR(_xll.qlSwapRateHelperSpread($D85)),IF(ISERROR(_xll.qlFuturesRateHelperConvexityAdjustment($D85)),"--",_xll.qlFuturesRateHelperConvexityAdjustment($D85)),_xll.qlSwapRateHelperSpread($D85))</f>
        <v>--</v>
      </c>
      <c r="H85" s="8" t="e">
        <f ca="1">_xll.qlRateHelperEarliestDate($D85)</f>
        <v>#NUM!</v>
      </c>
      <c r="I85" s="7" t="e">
        <f ca="1">_xll.qlRateHelperLatestDate($D85)</f>
        <v>#NUM!</v>
      </c>
      <c r="J85" s="171" t="e">
        <f ca="1"/>
        <v>#NUM!</v>
      </c>
    </row>
    <row r="86" spans="4:10" x14ac:dyDescent="0.2">
      <c r="D86" s="10" t="e">
        <f ca="1"/>
        <v>#VALUE!</v>
      </c>
      <c r="E86" s="10" t="e">
        <f ca="1">_xll.qlRateHelperQuoteName(D86)</f>
        <v>#NAME?</v>
      </c>
      <c r="F86" s="9" t="e">
        <f ca="1">_xll.qlRateHelperRate($D86)</f>
        <v>#NUM!</v>
      </c>
      <c r="G86" s="9" t="str">
        <f ca="1">IF(ISERROR(_xll.qlSwapRateHelperSpread($D86)),IF(ISERROR(_xll.qlFuturesRateHelperConvexityAdjustment($D86)),"--",_xll.qlFuturesRateHelperConvexityAdjustment($D86)),_xll.qlSwapRateHelperSpread($D86))</f>
        <v>--</v>
      </c>
      <c r="H86" s="8" t="e">
        <f ca="1">_xll.qlRateHelperEarliestDate($D86)</f>
        <v>#NUM!</v>
      </c>
      <c r="I86" s="7" t="e">
        <f ca="1">_xll.qlRateHelperLatestDate($D86)</f>
        <v>#NUM!</v>
      </c>
      <c r="J86" s="171" t="e">
        <f ca="1"/>
        <v>#NUM!</v>
      </c>
    </row>
    <row r="87" spans="4:10" x14ac:dyDescent="0.2">
      <c r="D87" s="10" t="e">
        <f ca="1"/>
        <v>#VALUE!</v>
      </c>
      <c r="E87" s="10" t="e">
        <f ca="1">_xll.qlRateHelperQuoteName(D87)</f>
        <v>#NAME?</v>
      </c>
      <c r="F87" s="9" t="e">
        <f ca="1">_xll.qlRateHelperRate($D87)</f>
        <v>#NUM!</v>
      </c>
      <c r="G87" s="9" t="str">
        <f ca="1">IF(ISERROR(_xll.qlSwapRateHelperSpread($D87)),IF(ISERROR(_xll.qlFuturesRateHelperConvexityAdjustment($D87)),"--",_xll.qlFuturesRateHelperConvexityAdjustment($D87)),_xll.qlSwapRateHelperSpread($D87))</f>
        <v>--</v>
      </c>
      <c r="H87" s="8" t="e">
        <f ca="1">_xll.qlRateHelperEarliestDate($D87)</f>
        <v>#NUM!</v>
      </c>
      <c r="I87" s="7" t="e">
        <f ca="1">_xll.qlRateHelperLatestDate($D87)</f>
        <v>#NUM!</v>
      </c>
      <c r="J87" s="171" t="e">
        <f ca="1"/>
        <v>#NUM!</v>
      </c>
    </row>
    <row r="88" spans="4:10" x14ac:dyDescent="0.2">
      <c r="D88" s="10" t="e">
        <f ca="1"/>
        <v>#VALUE!</v>
      </c>
      <c r="E88" s="10" t="e">
        <f ca="1">_xll.qlRateHelperQuoteName(D88)</f>
        <v>#NAME?</v>
      </c>
      <c r="F88" s="9" t="e">
        <f ca="1">_xll.qlRateHelperRate($D88)</f>
        <v>#NUM!</v>
      </c>
      <c r="G88" s="9" t="str">
        <f ca="1">IF(ISERROR(_xll.qlSwapRateHelperSpread($D88)),IF(ISERROR(_xll.qlFuturesRateHelperConvexityAdjustment($D88)),"--",_xll.qlFuturesRateHelperConvexityAdjustment($D88)),_xll.qlSwapRateHelperSpread($D88))</f>
        <v>--</v>
      </c>
      <c r="H88" s="8" t="e">
        <f ca="1">_xll.qlRateHelperEarliestDate($D88)</f>
        <v>#NUM!</v>
      </c>
      <c r="I88" s="7" t="e">
        <f ca="1">_xll.qlRateHelperLatestDate($D88)</f>
        <v>#NUM!</v>
      </c>
      <c r="J88" s="171" t="e">
        <f ca="1"/>
        <v>#NUM!</v>
      </c>
    </row>
    <row r="89" spans="4:10" x14ac:dyDescent="0.2">
      <c r="D89" s="10" t="e">
        <f ca="1"/>
        <v>#VALUE!</v>
      </c>
      <c r="E89" s="10" t="e">
        <f ca="1">_xll.qlRateHelperQuoteName(D89)</f>
        <v>#NAME?</v>
      </c>
      <c r="F89" s="9" t="e">
        <f ca="1">_xll.qlRateHelperRate($D89)</f>
        <v>#NUM!</v>
      </c>
      <c r="G89" s="9" t="str">
        <f ca="1">IF(ISERROR(_xll.qlSwapRateHelperSpread($D89)),IF(ISERROR(_xll.qlFuturesRateHelperConvexityAdjustment($D89)),"--",_xll.qlFuturesRateHelperConvexityAdjustment($D89)),_xll.qlSwapRateHelperSpread($D89))</f>
        <v>--</v>
      </c>
      <c r="H89" s="8" t="e">
        <f ca="1">_xll.qlRateHelperEarliestDate($D89)</f>
        <v>#NUM!</v>
      </c>
      <c r="I89" s="7" t="e">
        <f ca="1">_xll.qlRateHelperLatestDate($D89)</f>
        <v>#NUM!</v>
      </c>
      <c r="J89" s="171" t="e">
        <f ca="1"/>
        <v>#NUM!</v>
      </c>
    </row>
    <row r="90" spans="4:10" x14ac:dyDescent="0.2">
      <c r="D90" s="10" t="e">
        <f ca="1"/>
        <v>#VALUE!</v>
      </c>
      <c r="E90" s="10" t="e">
        <f ca="1">_xll.qlRateHelperQuoteName(D90)</f>
        <v>#NAME?</v>
      </c>
      <c r="F90" s="9" t="e">
        <f ca="1">_xll.qlRateHelperRate($D90)</f>
        <v>#NUM!</v>
      </c>
      <c r="G90" s="9" t="str">
        <f ca="1">IF(ISERROR(_xll.qlSwapRateHelperSpread($D90)),IF(ISERROR(_xll.qlFuturesRateHelperConvexityAdjustment($D90)),"--",_xll.qlFuturesRateHelperConvexityAdjustment($D90)),_xll.qlSwapRateHelperSpread($D90))</f>
        <v>--</v>
      </c>
      <c r="H90" s="8" t="e">
        <f ca="1">_xll.qlRateHelperEarliestDate($D90)</f>
        <v>#NUM!</v>
      </c>
      <c r="I90" s="7" t="e">
        <f ca="1">_xll.qlRateHelperLatestDate($D90)</f>
        <v>#NUM!</v>
      </c>
      <c r="J90" s="171" t="e">
        <f ca="1"/>
        <v>#NUM!</v>
      </c>
    </row>
    <row r="91" spans="4:10" x14ac:dyDescent="0.2">
      <c r="D91" s="10" t="e">
        <f ca="1"/>
        <v>#VALUE!</v>
      </c>
      <c r="E91" s="10" t="e">
        <f ca="1">_xll.qlRateHelperQuoteName(D91)</f>
        <v>#NAME?</v>
      </c>
      <c r="F91" s="9" t="e">
        <f ca="1">_xll.qlRateHelperRate($D91)</f>
        <v>#NUM!</v>
      </c>
      <c r="G91" s="9" t="str">
        <f ca="1">IF(ISERROR(_xll.qlSwapRateHelperSpread($D91)),IF(ISERROR(_xll.qlFuturesRateHelperConvexityAdjustment($D91)),"--",_xll.qlFuturesRateHelperConvexityAdjustment($D91)),_xll.qlSwapRateHelperSpread($D91))</f>
        <v>--</v>
      </c>
      <c r="H91" s="8" t="e">
        <f ca="1">_xll.qlRateHelperEarliestDate($D91)</f>
        <v>#NUM!</v>
      </c>
      <c r="I91" s="7" t="e">
        <f ca="1">_xll.qlRateHelperLatestDate($D91)</f>
        <v>#NUM!</v>
      </c>
      <c r="J91" s="171" t="e">
        <f ca="1"/>
        <v>#NUM!</v>
      </c>
    </row>
    <row r="92" spans="4:10" x14ac:dyDescent="0.2">
      <c r="D92" s="10" t="e">
        <f ca="1"/>
        <v>#VALUE!</v>
      </c>
      <c r="E92" s="10" t="e">
        <f ca="1">_xll.qlRateHelperQuoteName(D92)</f>
        <v>#NAME?</v>
      </c>
      <c r="F92" s="9" t="e">
        <f ca="1">_xll.qlRateHelperRate($D92)</f>
        <v>#NUM!</v>
      </c>
      <c r="G92" s="9" t="str">
        <f ca="1">IF(ISERROR(_xll.qlSwapRateHelperSpread($D92)),IF(ISERROR(_xll.qlFuturesRateHelperConvexityAdjustment($D92)),"--",_xll.qlFuturesRateHelperConvexityAdjustment($D92)),_xll.qlSwapRateHelperSpread($D92))</f>
        <v>--</v>
      </c>
      <c r="H92" s="8" t="e">
        <f ca="1">_xll.qlRateHelperEarliestDate($D92)</f>
        <v>#NUM!</v>
      </c>
      <c r="I92" s="7" t="e">
        <f ca="1">_xll.qlRateHelperLatestDate($D92)</f>
        <v>#NUM!</v>
      </c>
      <c r="J92" s="171" t="e">
        <f ca="1"/>
        <v>#NUM!</v>
      </c>
    </row>
    <row r="93" spans="4:10" x14ac:dyDescent="0.2">
      <c r="D93" s="10" t="e">
        <f ca="1"/>
        <v>#VALUE!</v>
      </c>
      <c r="E93" s="10" t="e">
        <f ca="1">_xll.qlRateHelperQuoteName(D93)</f>
        <v>#NAME?</v>
      </c>
      <c r="F93" s="9" t="e">
        <f ca="1">_xll.qlRateHelperRate($D93)</f>
        <v>#NUM!</v>
      </c>
      <c r="G93" s="9" t="str">
        <f ca="1">IF(ISERROR(_xll.qlSwapRateHelperSpread($D93)),IF(ISERROR(_xll.qlFuturesRateHelperConvexityAdjustment($D93)),"--",_xll.qlFuturesRateHelperConvexityAdjustment($D93)),_xll.qlSwapRateHelperSpread($D93))</f>
        <v>--</v>
      </c>
      <c r="H93" s="8" t="e">
        <f ca="1">_xll.qlRateHelperEarliestDate($D93)</f>
        <v>#NUM!</v>
      </c>
      <c r="I93" s="7" t="e">
        <f ca="1">_xll.qlRateHelperLatestDate($D93)</f>
        <v>#NUM!</v>
      </c>
      <c r="J93" s="171" t="e">
        <f ca="1"/>
        <v>#NUM!</v>
      </c>
    </row>
    <row r="94" spans="4:10" x14ac:dyDescent="0.2">
      <c r="D94" s="10" t="e">
        <f ca="1"/>
        <v>#VALUE!</v>
      </c>
      <c r="E94" s="10" t="e">
        <f ca="1">_xll.qlRateHelperQuoteName(D94)</f>
        <v>#NAME?</v>
      </c>
      <c r="F94" s="9" t="e">
        <f ca="1">_xll.qlRateHelperRate($D94)</f>
        <v>#NUM!</v>
      </c>
      <c r="G94" s="9" t="str">
        <f ca="1">IF(ISERROR(_xll.qlSwapRateHelperSpread($D94)),IF(ISERROR(_xll.qlFuturesRateHelperConvexityAdjustment($D94)),"--",_xll.qlFuturesRateHelperConvexityAdjustment($D94)),_xll.qlSwapRateHelperSpread($D94))</f>
        <v>--</v>
      </c>
      <c r="H94" s="8" t="e">
        <f ca="1">_xll.qlRateHelperEarliestDate($D94)</f>
        <v>#NUM!</v>
      </c>
      <c r="I94" s="7" t="e">
        <f ca="1">_xll.qlRateHelperLatestDate($D94)</f>
        <v>#NUM!</v>
      </c>
      <c r="J94" s="171" t="e">
        <f ca="1"/>
        <v>#NUM!</v>
      </c>
    </row>
    <row r="95" spans="4:10" x14ac:dyDescent="0.2">
      <c r="D95" s="10" t="e">
        <f ca="1"/>
        <v>#VALUE!</v>
      </c>
      <c r="E95" s="10" t="e">
        <f ca="1">_xll.qlRateHelperQuoteName(D95)</f>
        <v>#NAME?</v>
      </c>
      <c r="F95" s="9" t="e">
        <f ca="1">_xll.qlRateHelperRate($D95)</f>
        <v>#NUM!</v>
      </c>
      <c r="G95" s="9" t="str">
        <f ca="1">IF(ISERROR(_xll.qlSwapRateHelperSpread($D95)),IF(ISERROR(_xll.qlFuturesRateHelperConvexityAdjustment($D95)),"--",_xll.qlFuturesRateHelperConvexityAdjustment($D95)),_xll.qlSwapRateHelperSpread($D95))</f>
        <v>--</v>
      </c>
      <c r="H95" s="8" t="e">
        <f ca="1">_xll.qlRateHelperEarliestDate($D95)</f>
        <v>#NUM!</v>
      </c>
      <c r="I95" s="7" t="e">
        <f ca="1">_xll.qlRateHelperLatestDate($D95)</f>
        <v>#NUM!</v>
      </c>
      <c r="J95" s="171" t="e">
        <f ca="1"/>
        <v>#NUM!</v>
      </c>
    </row>
    <row r="96" spans="4:10" x14ac:dyDescent="0.2">
      <c r="D96" s="10" t="e">
        <f ca="1"/>
        <v>#VALUE!</v>
      </c>
      <c r="E96" s="10" t="e">
        <f ca="1">_xll.qlRateHelperQuoteName(D96)</f>
        <v>#NAME?</v>
      </c>
      <c r="F96" s="9" t="e">
        <f ca="1">_xll.qlRateHelperRate($D96)</f>
        <v>#NUM!</v>
      </c>
      <c r="G96" s="9" t="str">
        <f ca="1">IF(ISERROR(_xll.qlSwapRateHelperSpread($D96)),IF(ISERROR(_xll.qlFuturesRateHelperConvexityAdjustment($D96)),"--",_xll.qlFuturesRateHelperConvexityAdjustment($D96)),_xll.qlSwapRateHelperSpread($D96))</f>
        <v>--</v>
      </c>
      <c r="H96" s="8" t="e">
        <f ca="1">_xll.qlRateHelperEarliestDate($D96)</f>
        <v>#NUM!</v>
      </c>
      <c r="I96" s="7" t="e">
        <f ca="1">_xll.qlRateHelperLatestDate($D96)</f>
        <v>#NUM!</v>
      </c>
      <c r="J96" s="171" t="e">
        <f ca="1"/>
        <v>#NUM!</v>
      </c>
    </row>
    <row r="97" spans="4:10" x14ac:dyDescent="0.2">
      <c r="D97" s="10" t="e">
        <f ca="1"/>
        <v>#VALUE!</v>
      </c>
      <c r="E97" s="10" t="e">
        <f ca="1">_xll.qlRateHelperQuoteName(D97)</f>
        <v>#NAME?</v>
      </c>
      <c r="F97" s="9" t="e">
        <f ca="1">_xll.qlRateHelperRate($D97)</f>
        <v>#NUM!</v>
      </c>
      <c r="G97" s="9" t="str">
        <f ca="1">IF(ISERROR(_xll.qlSwapRateHelperSpread($D97)),IF(ISERROR(_xll.qlFuturesRateHelperConvexityAdjustment($D97)),"--",_xll.qlFuturesRateHelperConvexityAdjustment($D97)),_xll.qlSwapRateHelperSpread($D97))</f>
        <v>--</v>
      </c>
      <c r="H97" s="8" t="e">
        <f ca="1">_xll.qlRateHelperEarliestDate($D97)</f>
        <v>#NUM!</v>
      </c>
      <c r="I97" s="7" t="e">
        <f ca="1">_xll.qlRateHelperLatestDate($D97)</f>
        <v>#NUM!</v>
      </c>
      <c r="J97" s="171" t="e">
        <f ca="1"/>
        <v>#NUM!</v>
      </c>
    </row>
    <row r="98" spans="4:10" x14ac:dyDescent="0.2">
      <c r="D98" s="10" t="e">
        <f ca="1"/>
        <v>#VALUE!</v>
      </c>
      <c r="E98" s="10" t="e">
        <f ca="1">_xll.qlRateHelperQuoteName(D98)</f>
        <v>#NAME?</v>
      </c>
      <c r="F98" s="9" t="e">
        <f ca="1">_xll.qlRateHelperRate($D98)</f>
        <v>#NUM!</v>
      </c>
      <c r="G98" s="9" t="str">
        <f ca="1">IF(ISERROR(_xll.qlSwapRateHelperSpread($D98)),IF(ISERROR(_xll.qlFuturesRateHelperConvexityAdjustment($D98)),"--",_xll.qlFuturesRateHelperConvexityAdjustment($D98)),_xll.qlSwapRateHelperSpread($D98))</f>
        <v>--</v>
      </c>
      <c r="H98" s="8" t="e">
        <f ca="1">_xll.qlRateHelperEarliestDate($D98)</f>
        <v>#NUM!</v>
      </c>
      <c r="I98" s="7" t="e">
        <f ca="1">_xll.qlRateHelperLatestDate($D98)</f>
        <v>#NUM!</v>
      </c>
      <c r="J98" s="171" t="e">
        <f ca="1"/>
        <v>#NUM!</v>
      </c>
    </row>
    <row r="99" spans="4:10" x14ac:dyDescent="0.2">
      <c r="D99" s="10" t="e">
        <f ca="1"/>
        <v>#VALUE!</v>
      </c>
      <c r="E99" s="10" t="e">
        <f ca="1">_xll.qlRateHelperQuoteName(D99)</f>
        <v>#NAME?</v>
      </c>
      <c r="F99" s="9" t="e">
        <f ca="1">_xll.qlRateHelperRate($D99)</f>
        <v>#NUM!</v>
      </c>
      <c r="G99" s="9" t="str">
        <f ca="1">IF(ISERROR(_xll.qlSwapRateHelperSpread($D99)),IF(ISERROR(_xll.qlFuturesRateHelperConvexityAdjustment($D99)),"--",_xll.qlFuturesRateHelperConvexityAdjustment($D99)),_xll.qlSwapRateHelperSpread($D99))</f>
        <v>--</v>
      </c>
      <c r="H99" s="8" t="e">
        <f ca="1">_xll.qlRateHelperEarliestDate($D99)</f>
        <v>#NUM!</v>
      </c>
      <c r="I99" s="7" t="e">
        <f ca="1">_xll.qlRateHelperLatestDate($D99)</f>
        <v>#NUM!</v>
      </c>
      <c r="J99" s="171" t="e">
        <f ca="1"/>
        <v>#NUM!</v>
      </c>
    </row>
    <row r="100" spans="4:10" x14ac:dyDescent="0.2">
      <c r="D100" s="10" t="e">
        <f ca="1"/>
        <v>#VALUE!</v>
      </c>
      <c r="E100" s="10" t="e">
        <f ca="1">_xll.qlRateHelperQuoteName(D100)</f>
        <v>#NAME?</v>
      </c>
      <c r="F100" s="9" t="e">
        <f ca="1">_xll.qlRateHelperRate($D100)</f>
        <v>#NUM!</v>
      </c>
      <c r="G100" s="9" t="str">
        <f ca="1">IF(ISERROR(_xll.qlSwapRateHelperSpread($D100)),IF(ISERROR(_xll.qlFuturesRateHelperConvexityAdjustment($D100)),"--",_xll.qlFuturesRateHelperConvexityAdjustment($D100)),_xll.qlSwapRateHelperSpread($D100))</f>
        <v>--</v>
      </c>
      <c r="H100" s="8" t="e">
        <f ca="1">_xll.qlRateHelperEarliestDate($D100)</f>
        <v>#NUM!</v>
      </c>
      <c r="I100" s="7" t="e">
        <f ca="1">_xll.qlRateHelperLatestDate($D100)</f>
        <v>#NUM!</v>
      </c>
      <c r="J100" s="171" t="e">
        <f ca="1"/>
        <v>#NUM!</v>
      </c>
    </row>
    <row r="101" spans="4:10" x14ac:dyDescent="0.2">
      <c r="D101" s="10" t="e">
        <f ca="1"/>
        <v>#VALUE!</v>
      </c>
      <c r="E101" s="10" t="e">
        <f ca="1">_xll.qlRateHelperQuoteName(D101)</f>
        <v>#NAME?</v>
      </c>
      <c r="F101" s="9" t="e">
        <f ca="1">_xll.qlRateHelperRate($D101)</f>
        <v>#NUM!</v>
      </c>
      <c r="G101" s="9" t="str">
        <f ca="1">IF(ISERROR(_xll.qlSwapRateHelperSpread($D101)),IF(ISERROR(_xll.qlFuturesRateHelperConvexityAdjustment($D101)),"--",_xll.qlFuturesRateHelperConvexityAdjustment($D101)),_xll.qlSwapRateHelperSpread($D101))</f>
        <v>--</v>
      </c>
      <c r="H101" s="8" t="e">
        <f ca="1">_xll.qlRateHelperEarliestDate($D101)</f>
        <v>#NUM!</v>
      </c>
      <c r="I101" s="7" t="e">
        <f ca="1">_xll.qlRateHelperLatestDate($D101)</f>
        <v>#NUM!</v>
      </c>
      <c r="J101" s="171" t="e">
        <f ca="1"/>
        <v>#NUM!</v>
      </c>
    </row>
    <row r="102" spans="4:10" x14ac:dyDescent="0.2">
      <c r="D102" s="10" t="e">
        <f ca="1"/>
        <v>#VALUE!</v>
      </c>
      <c r="E102" s="10" t="e">
        <f ca="1">_xll.qlRateHelperQuoteName(D102)</f>
        <v>#NAME?</v>
      </c>
      <c r="F102" s="9" t="e">
        <f ca="1">_xll.qlRateHelperRate($D102)</f>
        <v>#NUM!</v>
      </c>
      <c r="G102" s="9" t="str">
        <f ca="1">IF(ISERROR(_xll.qlSwapRateHelperSpread($D102)),IF(ISERROR(_xll.qlFuturesRateHelperConvexityAdjustment($D102)),"--",_xll.qlFuturesRateHelperConvexityAdjustment($D102)),_xll.qlSwapRateHelperSpread($D102))</f>
        <v>--</v>
      </c>
      <c r="H102" s="8" t="e">
        <f ca="1">_xll.qlRateHelperEarliestDate($D102)</f>
        <v>#NUM!</v>
      </c>
      <c r="I102" s="7" t="e">
        <f ca="1">_xll.qlRateHelperLatestDate($D102)</f>
        <v>#NUM!</v>
      </c>
      <c r="J102" s="171" t="e">
        <f ca="1"/>
        <v>#NUM!</v>
      </c>
    </row>
    <row r="103" spans="4:10" x14ac:dyDescent="0.2">
      <c r="D103" s="10" t="e">
        <f ca="1"/>
        <v>#VALUE!</v>
      </c>
      <c r="E103" s="10" t="e">
        <f ca="1">_xll.qlRateHelperQuoteName(D103)</f>
        <v>#NAME?</v>
      </c>
      <c r="F103" s="9" t="e">
        <f ca="1">_xll.qlRateHelperRate($D103)</f>
        <v>#NUM!</v>
      </c>
      <c r="G103" s="9" t="str">
        <f ca="1">IF(ISERROR(_xll.qlSwapRateHelperSpread($D103)),IF(ISERROR(_xll.qlFuturesRateHelperConvexityAdjustment($D103)),"--",_xll.qlFuturesRateHelperConvexityAdjustment($D103)),_xll.qlSwapRateHelperSpread($D103))</f>
        <v>--</v>
      </c>
      <c r="H103" s="8" t="e">
        <f ca="1">_xll.qlRateHelperEarliestDate($D103)</f>
        <v>#NUM!</v>
      </c>
      <c r="I103" s="7" t="e">
        <f ca="1">_xll.qlRateHelperLatestDate($D103)</f>
        <v>#NUM!</v>
      </c>
      <c r="J103" s="171" t="e">
        <f ca="1"/>
        <v>#NUM!</v>
      </c>
    </row>
    <row r="104" spans="4:10" x14ac:dyDescent="0.2">
      <c r="D104" s="10" t="e">
        <f ca="1"/>
        <v>#VALUE!</v>
      </c>
      <c r="E104" s="10" t="e">
        <f ca="1">_xll.qlRateHelperQuoteName(D104)</f>
        <v>#NAME?</v>
      </c>
      <c r="F104" s="9" t="e">
        <f ca="1">_xll.qlRateHelperRate($D104)</f>
        <v>#NUM!</v>
      </c>
      <c r="G104" s="9" t="str">
        <f ca="1">IF(ISERROR(_xll.qlSwapRateHelperSpread($D104)),IF(ISERROR(_xll.qlFuturesRateHelperConvexityAdjustment($D104)),"--",_xll.qlFuturesRateHelperConvexityAdjustment($D104)),_xll.qlSwapRateHelperSpread($D104))</f>
        <v>--</v>
      </c>
      <c r="H104" s="8" t="e">
        <f ca="1">_xll.qlRateHelperEarliestDate($D104)</f>
        <v>#NUM!</v>
      </c>
      <c r="I104" s="7" t="e">
        <f ca="1">_xll.qlRateHelperLatestDate($D104)</f>
        <v>#NUM!</v>
      </c>
      <c r="J104" s="171" t="e">
        <f ca="1"/>
        <v>#NUM!</v>
      </c>
    </row>
    <row r="105" spans="4:10" x14ac:dyDescent="0.2">
      <c r="D105" s="10" t="e">
        <f ca="1"/>
        <v>#VALUE!</v>
      </c>
      <c r="E105" s="10" t="e">
        <f ca="1">_xll.qlRateHelperQuoteName(D105)</f>
        <v>#NAME?</v>
      </c>
      <c r="F105" s="9" t="e">
        <f ca="1">_xll.qlRateHelperRate($D105)</f>
        <v>#NUM!</v>
      </c>
      <c r="G105" s="9" t="str">
        <f ca="1">IF(ISERROR(_xll.qlSwapRateHelperSpread($D105)),IF(ISERROR(_xll.qlFuturesRateHelperConvexityAdjustment($D105)),"--",_xll.qlFuturesRateHelperConvexityAdjustment($D105)),_xll.qlSwapRateHelperSpread($D105))</f>
        <v>--</v>
      </c>
      <c r="H105" s="8" t="e">
        <f ca="1">_xll.qlRateHelperEarliestDate($D105)</f>
        <v>#NUM!</v>
      </c>
      <c r="I105" s="7" t="e">
        <f ca="1">_xll.qlRateHelperLatestDate($D105)</f>
        <v>#NUM!</v>
      </c>
      <c r="J105" s="171" t="e">
        <f ca="1"/>
        <v>#NUM!</v>
      </c>
    </row>
    <row r="106" spans="4:10" x14ac:dyDescent="0.2">
      <c r="D106" s="10" t="e">
        <f ca="1"/>
        <v>#VALUE!</v>
      </c>
      <c r="E106" s="10" t="e">
        <f ca="1">_xll.qlRateHelperQuoteName(D106)</f>
        <v>#NAME?</v>
      </c>
      <c r="F106" s="9" t="e">
        <f ca="1">_xll.qlRateHelperRate($D106)</f>
        <v>#NUM!</v>
      </c>
      <c r="G106" s="9" t="str">
        <f ca="1">IF(ISERROR(_xll.qlSwapRateHelperSpread($D106)),IF(ISERROR(_xll.qlFuturesRateHelperConvexityAdjustment($D106)),"--",_xll.qlFuturesRateHelperConvexityAdjustment($D106)),_xll.qlSwapRateHelperSpread($D106))</f>
        <v>--</v>
      </c>
      <c r="H106" s="8" t="e">
        <f ca="1">_xll.qlRateHelperEarliestDate($D106)</f>
        <v>#NUM!</v>
      </c>
      <c r="I106" s="7" t="e">
        <f ca="1">_xll.qlRateHelperLatestDate($D106)</f>
        <v>#NUM!</v>
      </c>
      <c r="J106" s="171" t="e">
        <f ca="1"/>
        <v>#NUM!</v>
      </c>
    </row>
    <row r="107" spans="4:10" x14ac:dyDescent="0.2">
      <c r="D107" s="10" t="e">
        <f ca="1"/>
        <v>#VALUE!</v>
      </c>
      <c r="E107" s="10" t="e">
        <f ca="1">_xll.qlRateHelperQuoteName(D107)</f>
        <v>#NAME?</v>
      </c>
      <c r="F107" s="9" t="e">
        <f ca="1">_xll.qlRateHelperRate($D107)</f>
        <v>#NUM!</v>
      </c>
      <c r="G107" s="9" t="str">
        <f ca="1">IF(ISERROR(_xll.qlSwapRateHelperSpread($D107)),IF(ISERROR(_xll.qlFuturesRateHelperConvexityAdjustment($D107)),"--",_xll.qlFuturesRateHelperConvexityAdjustment($D107)),_xll.qlSwapRateHelperSpread($D107))</f>
        <v>--</v>
      </c>
      <c r="H107" s="8" t="e">
        <f ca="1">_xll.qlRateHelperEarliestDate($D107)</f>
        <v>#NUM!</v>
      </c>
      <c r="I107" s="7" t="e">
        <f ca="1">_xll.qlRateHelperLatestDate($D107)</f>
        <v>#NUM!</v>
      </c>
      <c r="J107" s="171" t="e">
        <f ca="1"/>
        <v>#NUM!</v>
      </c>
    </row>
    <row r="108" spans="4:10" x14ac:dyDescent="0.2">
      <c r="D108" s="10" t="e">
        <f ca="1"/>
        <v>#VALUE!</v>
      </c>
      <c r="E108" s="10" t="e">
        <f ca="1">_xll.qlRateHelperQuoteName(D108)</f>
        <v>#NAME?</v>
      </c>
      <c r="F108" s="9" t="e">
        <f ca="1">_xll.qlRateHelperRate($D108)</f>
        <v>#NUM!</v>
      </c>
      <c r="G108" s="9" t="str">
        <f ca="1">IF(ISERROR(_xll.qlSwapRateHelperSpread($D108)),IF(ISERROR(_xll.qlFuturesRateHelperConvexityAdjustment($D108)),"--",_xll.qlFuturesRateHelperConvexityAdjustment($D108)),_xll.qlSwapRateHelperSpread($D108))</f>
        <v>--</v>
      </c>
      <c r="H108" s="8" t="e">
        <f ca="1">_xll.qlRateHelperEarliestDate($D108)</f>
        <v>#NUM!</v>
      </c>
      <c r="I108" s="7" t="e">
        <f ca="1">_xll.qlRateHelperLatestDate($D108)</f>
        <v>#NUM!</v>
      </c>
      <c r="J108" s="171" t="e">
        <f ca="1"/>
        <v>#NUM!</v>
      </c>
    </row>
    <row r="109" spans="4:10" x14ac:dyDescent="0.2">
      <c r="D109" s="10" t="e">
        <f ca="1"/>
        <v>#VALUE!</v>
      </c>
      <c r="E109" s="10" t="e">
        <f ca="1">_xll.qlRateHelperQuoteName(D109)</f>
        <v>#NAME?</v>
      </c>
      <c r="F109" s="9" t="e">
        <f ca="1">_xll.qlRateHelperRate($D109)</f>
        <v>#NUM!</v>
      </c>
      <c r="G109" s="9" t="str">
        <f ca="1">IF(ISERROR(_xll.qlSwapRateHelperSpread($D109)),IF(ISERROR(_xll.qlFuturesRateHelperConvexityAdjustment($D109)),"--",_xll.qlFuturesRateHelperConvexityAdjustment($D109)),_xll.qlSwapRateHelperSpread($D109))</f>
        <v>--</v>
      </c>
      <c r="H109" s="8" t="e">
        <f ca="1">_xll.qlRateHelperEarliestDate($D109)</f>
        <v>#NUM!</v>
      </c>
      <c r="I109" s="7" t="e">
        <f ca="1">_xll.qlRateHelperLatestDate($D109)</f>
        <v>#NUM!</v>
      </c>
      <c r="J109" s="171" t="e">
        <f ca="1"/>
        <v>#NUM!</v>
      </c>
    </row>
    <row r="110" spans="4:10" x14ac:dyDescent="0.2">
      <c r="D110" s="10" t="e">
        <f ca="1"/>
        <v>#VALUE!</v>
      </c>
      <c r="E110" s="10" t="e">
        <f ca="1">_xll.qlRateHelperQuoteName(D110)</f>
        <v>#NAME?</v>
      </c>
      <c r="F110" s="9" t="e">
        <f ca="1">_xll.qlRateHelperRate($D110)</f>
        <v>#NUM!</v>
      </c>
      <c r="G110" s="9" t="str">
        <f ca="1">IF(ISERROR(_xll.qlSwapRateHelperSpread($D110)),IF(ISERROR(_xll.qlFuturesRateHelperConvexityAdjustment($D110)),"--",_xll.qlFuturesRateHelperConvexityAdjustment($D110)),_xll.qlSwapRateHelperSpread($D110))</f>
        <v>--</v>
      </c>
      <c r="H110" s="8" t="e">
        <f ca="1">_xll.qlRateHelperEarliestDate($D110)</f>
        <v>#NUM!</v>
      </c>
      <c r="I110" s="7" t="e">
        <f ca="1">_xll.qlRateHelperLatestDate($D110)</f>
        <v>#NUM!</v>
      </c>
      <c r="J110" s="171" t="e">
        <f ca="1"/>
        <v>#NUM!</v>
      </c>
    </row>
    <row r="111" spans="4:10" x14ac:dyDescent="0.2">
      <c r="D111" s="10" t="e">
        <f ca="1"/>
        <v>#VALUE!</v>
      </c>
      <c r="E111" s="10" t="e">
        <f ca="1">_xll.qlRateHelperQuoteName(D111)</f>
        <v>#NAME?</v>
      </c>
      <c r="F111" s="9" t="e">
        <f ca="1">_xll.qlRateHelperRate($D111)</f>
        <v>#NUM!</v>
      </c>
      <c r="G111" s="9" t="str">
        <f ca="1">IF(ISERROR(_xll.qlSwapRateHelperSpread($D111)),IF(ISERROR(_xll.qlFuturesRateHelperConvexityAdjustment($D111)),"--",_xll.qlFuturesRateHelperConvexityAdjustment($D111)),_xll.qlSwapRateHelperSpread($D111))</f>
        <v>--</v>
      </c>
      <c r="H111" s="8" t="e">
        <f ca="1">_xll.qlRateHelperEarliestDate($D111)</f>
        <v>#NUM!</v>
      </c>
      <c r="I111" s="7" t="e">
        <f ca="1">_xll.qlRateHelperLatestDate($D111)</f>
        <v>#NUM!</v>
      </c>
      <c r="J111" s="171" t="e">
        <f ca="1"/>
        <v>#NUM!</v>
      </c>
    </row>
    <row r="112" spans="4:10" x14ac:dyDescent="0.2">
      <c r="D112" s="10" t="e">
        <f ca="1"/>
        <v>#VALUE!</v>
      </c>
      <c r="E112" s="10" t="e">
        <f ca="1">_xll.qlRateHelperQuoteName(D112)</f>
        <v>#NAME?</v>
      </c>
      <c r="F112" s="9" t="e">
        <f ca="1">_xll.qlRateHelperRate($D112)</f>
        <v>#NUM!</v>
      </c>
      <c r="G112" s="9" t="str">
        <f ca="1">IF(ISERROR(_xll.qlSwapRateHelperSpread($D112)),IF(ISERROR(_xll.qlFuturesRateHelperConvexityAdjustment($D112)),"--",_xll.qlFuturesRateHelperConvexityAdjustment($D112)),_xll.qlSwapRateHelperSpread($D112))</f>
        <v>--</v>
      </c>
      <c r="H112" s="8" t="e">
        <f ca="1">_xll.qlRateHelperEarliestDate($D112)</f>
        <v>#NUM!</v>
      </c>
      <c r="I112" s="7" t="e">
        <f ca="1">_xll.qlRateHelperLatestDate($D112)</f>
        <v>#NUM!</v>
      </c>
      <c r="J112" s="171" t="e">
        <f ca="1"/>
        <v>#NUM!</v>
      </c>
    </row>
    <row r="113" spans="4:10" x14ac:dyDescent="0.2">
      <c r="D113" s="10" t="e">
        <f ca="1"/>
        <v>#VALUE!</v>
      </c>
      <c r="E113" s="10" t="e">
        <f ca="1">_xll.qlRateHelperQuoteName(D113)</f>
        <v>#NAME?</v>
      </c>
      <c r="F113" s="9" t="e">
        <f ca="1">_xll.qlRateHelperRate($D113)</f>
        <v>#NUM!</v>
      </c>
      <c r="G113" s="9" t="str">
        <f ca="1">IF(ISERROR(_xll.qlSwapRateHelperSpread($D113)),IF(ISERROR(_xll.qlFuturesRateHelperConvexityAdjustment($D113)),"--",_xll.qlFuturesRateHelperConvexityAdjustment($D113)),_xll.qlSwapRateHelperSpread($D113))</f>
        <v>--</v>
      </c>
      <c r="H113" s="8" t="e">
        <f ca="1">_xll.qlRateHelperEarliestDate($D113)</f>
        <v>#NUM!</v>
      </c>
      <c r="I113" s="7" t="e">
        <f ca="1">_xll.qlRateHelperLatestDate($D113)</f>
        <v>#NUM!</v>
      </c>
      <c r="J113" s="171" t="e">
        <f ca="1"/>
        <v>#NUM!</v>
      </c>
    </row>
    <row r="114" spans="4:10" x14ac:dyDescent="0.2">
      <c r="D114" s="10" t="e">
        <f ca="1"/>
        <v>#VALUE!</v>
      </c>
      <c r="E114" s="10" t="e">
        <f ca="1">_xll.qlRateHelperQuoteName(D114)</f>
        <v>#NAME?</v>
      </c>
      <c r="F114" s="9" t="e">
        <f ca="1">_xll.qlRateHelperRate($D114)</f>
        <v>#NUM!</v>
      </c>
      <c r="G114" s="9" t="str">
        <f ca="1">IF(ISERROR(_xll.qlSwapRateHelperSpread($D114)),IF(ISERROR(_xll.qlFuturesRateHelperConvexityAdjustment($D114)),"--",_xll.qlFuturesRateHelperConvexityAdjustment($D114)),_xll.qlSwapRateHelperSpread($D114))</f>
        <v>--</v>
      </c>
      <c r="H114" s="8" t="e">
        <f ca="1">_xll.qlRateHelperEarliestDate($D114)</f>
        <v>#NUM!</v>
      </c>
      <c r="I114" s="7" t="e">
        <f ca="1">_xll.qlRateHelperLatestDate($D114)</f>
        <v>#NUM!</v>
      </c>
      <c r="J114" s="171" t="e">
        <f ca="1"/>
        <v>#NUM!</v>
      </c>
    </row>
    <row r="115" spans="4:10" x14ac:dyDescent="0.2">
      <c r="D115" s="10" t="e">
        <f ca="1"/>
        <v>#VALUE!</v>
      </c>
      <c r="E115" s="10" t="e">
        <f ca="1">_xll.qlRateHelperQuoteName(D115)</f>
        <v>#NAME?</v>
      </c>
      <c r="F115" s="9" t="e">
        <f ca="1">_xll.qlRateHelperRate($D115)</f>
        <v>#NUM!</v>
      </c>
      <c r="G115" s="9" t="str">
        <f ca="1">IF(ISERROR(_xll.qlSwapRateHelperSpread($D115)),IF(ISERROR(_xll.qlFuturesRateHelperConvexityAdjustment($D115)),"--",_xll.qlFuturesRateHelperConvexityAdjustment($D115)),_xll.qlSwapRateHelperSpread($D115))</f>
        <v>--</v>
      </c>
      <c r="H115" s="8" t="e">
        <f ca="1">_xll.qlRateHelperEarliestDate($D115)</f>
        <v>#NUM!</v>
      </c>
      <c r="I115" s="7" t="e">
        <f ca="1">_xll.qlRateHelperLatestDate($D115)</f>
        <v>#NUM!</v>
      </c>
      <c r="J115" s="171" t="e">
        <f ca="1"/>
        <v>#NUM!</v>
      </c>
    </row>
    <row r="116" spans="4:10" x14ac:dyDescent="0.2">
      <c r="D116" s="10" t="e">
        <f ca="1"/>
        <v>#VALUE!</v>
      </c>
      <c r="E116" s="10" t="e">
        <f ca="1">_xll.qlRateHelperQuoteName(D116)</f>
        <v>#NAME?</v>
      </c>
      <c r="F116" s="9" t="e">
        <f ca="1">_xll.qlRateHelperRate($D116)</f>
        <v>#NUM!</v>
      </c>
      <c r="G116" s="9" t="str">
        <f ca="1">IF(ISERROR(_xll.qlSwapRateHelperSpread($D116)),IF(ISERROR(_xll.qlFuturesRateHelperConvexityAdjustment($D116)),"--",_xll.qlFuturesRateHelperConvexityAdjustment($D116)),_xll.qlSwapRateHelperSpread($D116))</f>
        <v>--</v>
      </c>
      <c r="H116" s="8" t="e">
        <f ca="1">_xll.qlRateHelperEarliestDate($D116)</f>
        <v>#NUM!</v>
      </c>
      <c r="I116" s="7" t="e">
        <f ca="1">_xll.qlRateHelperLatestDate($D116)</f>
        <v>#NUM!</v>
      </c>
      <c r="J116" s="171" t="e">
        <f ca="1"/>
        <v>#NUM!</v>
      </c>
    </row>
    <row r="117" spans="4:10" x14ac:dyDescent="0.2">
      <c r="D117" s="10" t="e">
        <f ca="1"/>
        <v>#VALUE!</v>
      </c>
      <c r="E117" s="10" t="e">
        <f ca="1">_xll.qlRateHelperQuoteName(D117)</f>
        <v>#NAME?</v>
      </c>
      <c r="F117" s="9" t="e">
        <f ca="1">_xll.qlRateHelperRate($D117)</f>
        <v>#NUM!</v>
      </c>
      <c r="G117" s="9" t="str">
        <f ca="1">IF(ISERROR(_xll.qlSwapRateHelperSpread($D117)),IF(ISERROR(_xll.qlFuturesRateHelperConvexityAdjustment($D117)),"--",_xll.qlFuturesRateHelperConvexityAdjustment($D117)),_xll.qlSwapRateHelperSpread($D117))</f>
        <v>--</v>
      </c>
      <c r="H117" s="8" t="e">
        <f ca="1">_xll.qlRateHelperEarliestDate($D117)</f>
        <v>#NUM!</v>
      </c>
      <c r="I117" s="7" t="e">
        <f ca="1">_xll.qlRateHelperLatestDate($D117)</f>
        <v>#NUM!</v>
      </c>
      <c r="J117" s="171" t="e">
        <f ca="1"/>
        <v>#NUM!</v>
      </c>
    </row>
    <row r="118" spans="4:10" x14ac:dyDescent="0.2">
      <c r="D118" s="10" t="e">
        <f ca="1"/>
        <v>#VALUE!</v>
      </c>
      <c r="E118" s="10" t="e">
        <f ca="1">_xll.qlRateHelperQuoteName(D118)</f>
        <v>#NAME?</v>
      </c>
      <c r="F118" s="9" t="e">
        <f ca="1">_xll.qlRateHelperRate($D118)</f>
        <v>#NUM!</v>
      </c>
      <c r="G118" s="9" t="str">
        <f ca="1">IF(ISERROR(_xll.qlSwapRateHelperSpread($D118)),IF(ISERROR(_xll.qlFuturesRateHelperConvexityAdjustment($D118)),"--",_xll.qlFuturesRateHelperConvexityAdjustment($D118)),_xll.qlSwapRateHelperSpread($D118))</f>
        <v>--</v>
      </c>
      <c r="H118" s="8" t="e">
        <f ca="1">_xll.qlRateHelperEarliestDate($D118)</f>
        <v>#NUM!</v>
      </c>
      <c r="I118" s="7" t="e">
        <f ca="1">_xll.qlRateHelperLatestDate($D118)</f>
        <v>#NUM!</v>
      </c>
      <c r="J118" s="171" t="e">
        <f ca="1"/>
        <v>#NUM!</v>
      </c>
    </row>
    <row r="119" spans="4:10" x14ac:dyDescent="0.2">
      <c r="D119" s="10" t="e">
        <f ca="1"/>
        <v>#VALUE!</v>
      </c>
      <c r="E119" s="10" t="e">
        <f ca="1">_xll.qlRateHelperQuoteName(D119)</f>
        <v>#NAME?</v>
      </c>
      <c r="F119" s="9" t="e">
        <f ca="1">_xll.qlRateHelperRate($D119)</f>
        <v>#NUM!</v>
      </c>
      <c r="G119" s="9" t="str">
        <f ca="1">IF(ISERROR(_xll.qlSwapRateHelperSpread($D119)),IF(ISERROR(_xll.qlFuturesRateHelperConvexityAdjustment($D119)),"--",_xll.qlFuturesRateHelperConvexityAdjustment($D119)),_xll.qlSwapRateHelperSpread($D119))</f>
        <v>--</v>
      </c>
      <c r="H119" s="8" t="e">
        <f ca="1">_xll.qlRateHelperEarliestDate($D119)</f>
        <v>#NUM!</v>
      </c>
      <c r="I119" s="7" t="e">
        <f ca="1">_xll.qlRateHelperLatestDate($D119)</f>
        <v>#NUM!</v>
      </c>
      <c r="J119" s="171" t="e">
        <f ca="1"/>
        <v>#NUM!</v>
      </c>
    </row>
    <row r="120" spans="4:10" x14ac:dyDescent="0.2">
      <c r="D120" s="10" t="e">
        <f ca="1"/>
        <v>#VALUE!</v>
      </c>
      <c r="E120" s="10" t="e">
        <f ca="1">_xll.qlRateHelperQuoteName(D120)</f>
        <v>#NAME?</v>
      </c>
      <c r="F120" s="9" t="e">
        <f ca="1">_xll.qlRateHelperRate($D120)</f>
        <v>#NUM!</v>
      </c>
      <c r="G120" s="9" t="str">
        <f ca="1">IF(ISERROR(_xll.qlSwapRateHelperSpread($D120)),IF(ISERROR(_xll.qlFuturesRateHelperConvexityAdjustment($D120)),"--",_xll.qlFuturesRateHelperConvexityAdjustment($D120)),_xll.qlSwapRateHelperSpread($D120))</f>
        <v>--</v>
      </c>
      <c r="H120" s="8" t="e">
        <f ca="1">_xll.qlRateHelperEarliestDate($D120)</f>
        <v>#NUM!</v>
      </c>
      <c r="I120" s="7" t="e">
        <f ca="1">_xll.qlRateHelperLatestDate($D120)</f>
        <v>#NUM!</v>
      </c>
      <c r="J120" s="171" t="e">
        <f ca="1"/>
        <v>#NUM!</v>
      </c>
    </row>
    <row r="121" spans="4:10" x14ac:dyDescent="0.2">
      <c r="D121" s="10" t="e">
        <f ca="1"/>
        <v>#VALUE!</v>
      </c>
      <c r="E121" s="10" t="e">
        <f ca="1">_xll.qlRateHelperQuoteName(D121)</f>
        <v>#NAME?</v>
      </c>
      <c r="F121" s="9" t="e">
        <f ca="1">_xll.qlRateHelperRate($D121)</f>
        <v>#NUM!</v>
      </c>
      <c r="G121" s="9" t="str">
        <f ca="1">IF(ISERROR(_xll.qlSwapRateHelperSpread($D121)),IF(ISERROR(_xll.qlFuturesRateHelperConvexityAdjustment($D121)),"--",_xll.qlFuturesRateHelperConvexityAdjustment($D121)),_xll.qlSwapRateHelperSpread($D121))</f>
        <v>--</v>
      </c>
      <c r="H121" s="8" t="e">
        <f ca="1">_xll.qlRateHelperEarliestDate($D121)</f>
        <v>#NUM!</v>
      </c>
      <c r="I121" s="7" t="e">
        <f ca="1">_xll.qlRateHelperLatestDate($D121)</f>
        <v>#NUM!</v>
      </c>
      <c r="J121" s="171" t="e">
        <f ca="1"/>
        <v>#NUM!</v>
      </c>
    </row>
    <row r="122" spans="4:10" x14ac:dyDescent="0.2">
      <c r="D122" s="10" t="e">
        <f ca="1"/>
        <v>#VALUE!</v>
      </c>
      <c r="E122" s="10" t="e">
        <f ca="1">_xll.qlRateHelperQuoteName(D122)</f>
        <v>#NAME?</v>
      </c>
      <c r="F122" s="9" t="e">
        <f ca="1">_xll.qlRateHelperRate($D122)</f>
        <v>#NUM!</v>
      </c>
      <c r="G122" s="9" t="str">
        <f ca="1">IF(ISERROR(_xll.qlSwapRateHelperSpread($D122)),IF(ISERROR(_xll.qlFuturesRateHelperConvexityAdjustment($D122)),"--",_xll.qlFuturesRateHelperConvexityAdjustment($D122)),_xll.qlSwapRateHelperSpread($D122))</f>
        <v>--</v>
      </c>
      <c r="H122" s="8" t="e">
        <f ca="1">_xll.qlRateHelperEarliestDate($D122)</f>
        <v>#NUM!</v>
      </c>
      <c r="I122" s="7" t="e">
        <f ca="1">_xll.qlRateHelperLatestDate($D122)</f>
        <v>#NUM!</v>
      </c>
      <c r="J122" s="171" t="e">
        <f ca="1"/>
        <v>#NUM!</v>
      </c>
    </row>
    <row r="123" spans="4:10" x14ac:dyDescent="0.2">
      <c r="D123" s="10" t="e">
        <f ca="1"/>
        <v>#VALUE!</v>
      </c>
      <c r="E123" s="10" t="e">
        <f ca="1">_xll.qlRateHelperQuoteName(D123)</f>
        <v>#NAME?</v>
      </c>
      <c r="F123" s="9" t="e">
        <f ca="1">_xll.qlRateHelperRate($D123)</f>
        <v>#NUM!</v>
      </c>
      <c r="G123" s="9" t="str">
        <f ca="1">IF(ISERROR(_xll.qlSwapRateHelperSpread($D123)),IF(ISERROR(_xll.qlFuturesRateHelperConvexityAdjustment($D123)),"--",_xll.qlFuturesRateHelperConvexityAdjustment($D123)),_xll.qlSwapRateHelperSpread($D123))</f>
        <v>--</v>
      </c>
      <c r="H123" s="8" t="e">
        <f ca="1">_xll.qlRateHelperEarliestDate($D123)</f>
        <v>#NUM!</v>
      </c>
      <c r="I123" s="7" t="e">
        <f ca="1">_xll.qlRateHelperLatestDate($D123)</f>
        <v>#NUM!</v>
      </c>
      <c r="J123" s="171" t="e">
        <f ca="1"/>
        <v>#NUM!</v>
      </c>
    </row>
    <row r="124" spans="4:10" x14ac:dyDescent="0.2">
      <c r="D124" s="10" t="e">
        <f ca="1"/>
        <v>#VALUE!</v>
      </c>
      <c r="E124" s="10" t="e">
        <f ca="1">_xll.qlRateHelperQuoteName(D124)</f>
        <v>#NAME?</v>
      </c>
      <c r="F124" s="9" t="e">
        <f ca="1">_xll.qlRateHelperRate($D124)</f>
        <v>#NUM!</v>
      </c>
      <c r="G124" s="9" t="str">
        <f ca="1">IF(ISERROR(_xll.qlSwapRateHelperSpread($D124)),IF(ISERROR(_xll.qlFuturesRateHelperConvexityAdjustment($D124)),"--",_xll.qlFuturesRateHelperConvexityAdjustment($D124)),_xll.qlSwapRateHelperSpread($D124))</f>
        <v>--</v>
      </c>
      <c r="H124" s="8" t="e">
        <f ca="1">_xll.qlRateHelperEarliestDate($D124)</f>
        <v>#NUM!</v>
      </c>
      <c r="I124" s="7" t="e">
        <f ca="1">_xll.qlRateHelperLatestDate($D124)</f>
        <v>#NUM!</v>
      </c>
      <c r="J124" s="171" t="e">
        <f ca="1"/>
        <v>#NUM!</v>
      </c>
    </row>
    <row r="125" spans="4:10" x14ac:dyDescent="0.2">
      <c r="D125" s="10" t="e">
        <f ca="1"/>
        <v>#VALUE!</v>
      </c>
      <c r="E125" s="10" t="e">
        <f ca="1">_xll.qlRateHelperQuoteName(D125)</f>
        <v>#NAME?</v>
      </c>
      <c r="F125" s="9" t="e">
        <f ca="1">_xll.qlRateHelperRate($D125)</f>
        <v>#NUM!</v>
      </c>
      <c r="G125" s="9" t="str">
        <f ca="1">IF(ISERROR(_xll.qlSwapRateHelperSpread($D125)),IF(ISERROR(_xll.qlFuturesRateHelperConvexityAdjustment($D125)),"--",_xll.qlFuturesRateHelperConvexityAdjustment($D125)),_xll.qlSwapRateHelperSpread($D125))</f>
        <v>--</v>
      </c>
      <c r="H125" s="8" t="e">
        <f ca="1">_xll.qlRateHelperEarliestDate($D125)</f>
        <v>#NUM!</v>
      </c>
      <c r="I125" s="7" t="e">
        <f ca="1">_xll.qlRateHelperLatestDate($D125)</f>
        <v>#NUM!</v>
      </c>
      <c r="J125" s="171" t="e">
        <f ca="1"/>
        <v>#NUM!</v>
      </c>
    </row>
    <row r="126" spans="4:10" ht="12" thickBot="1" x14ac:dyDescent="0.25">
      <c r="D126" s="6" t="e">
        <f ca="1"/>
        <v>#VALUE!</v>
      </c>
      <c r="E126" s="6" t="e">
        <f ca="1">_xll.qlRateHelperQuoteName(D126)</f>
        <v>#NAME?</v>
      </c>
      <c r="F126" s="5" t="e">
        <f ca="1">_xll.qlRateHelperRate($D126)</f>
        <v>#NUM!</v>
      </c>
      <c r="G126" s="5" t="str">
        <f ca="1">IF(ISERROR(_xll.qlSwapRateHelperSpread($D126)),IF(ISERROR(_xll.qlFuturesRateHelperConvexityAdjustment($D126)),"--",_xll.qlFuturesRateHelperConvexityAdjustment($D126)),_xll.qlSwapRateHelperSpread($D126))</f>
        <v>--</v>
      </c>
      <c r="H126" s="4" t="e">
        <f ca="1">_xll.qlRateHelperEarliestDate($D126)</f>
        <v>#NUM!</v>
      </c>
      <c r="I126" s="3" t="e">
        <f ca="1">_xll.qlRateHelperLatestDate($D126)</f>
        <v>#NUM!</v>
      </c>
      <c r="J126" s="171" t="e">
        <f ca="1"/>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_xll.qlDepositRateHelper(Trigger,,ObjectOverwrite,Permanent,E3,D3)</f>
        <v>obj_004ea#0000</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_xll.qlFraRateHelper(Trigger,,ObjectOverwrite,Permanent,E4,B4,D4)</f>
        <v>obj_004e8#0000</v>
      </c>
      <c r="G4" s="284"/>
      <c r="H4" s="265"/>
    </row>
    <row r="5" spans="1:8" x14ac:dyDescent="0.25">
      <c r="A5" s="63"/>
      <c r="B5" s="212" t="s">
        <v>89</v>
      </c>
      <c r="C5" s="212" t="s">
        <v>88</v>
      </c>
      <c r="D5" s="285" t="s">
        <v>76</v>
      </c>
      <c r="E5" s="286" t="str">
        <f>Currency&amp;$C5&amp;"D"&amp;QuoteSuffix</f>
        <v>EURSND_Quote</v>
      </c>
      <c r="F5" s="267" t="str">
        <f>_xll.qlFraRateHelper(Trigger,,ObjectOverwrite,Permanent,E5,B5,D5)</f>
        <v>obj_004e9#0000</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tabSelected="1"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t="e">
        <f ca="1">_xll.qlIMMdate(E3)</f>
        <v>#NAME?</v>
      </c>
      <c r="G3" s="239" t="str">
        <f>PROPER(Currency)&amp;FamilyName&amp;$G$1</f>
        <v>Euribor3M</v>
      </c>
      <c r="H3" s="241" t="str">
        <f>Currency&amp;"OIS"&amp;$E3&amp;QuoteSuffix</f>
        <v>EUROISM5_Quote</v>
      </c>
      <c r="I3" s="260">
        <v>0</v>
      </c>
      <c r="J3" s="242" t="e">
        <f>_xll.qlFuturesRateHelper(,$H3,$C3,$E3,$G3,$I3,Permanent,Trigger,ObjectOverwrite)</f>
        <v>#VALUE!</v>
      </c>
      <c r="K3" s="243" t="str">
        <f ca="1">_xll.ohRangeRetrieveError(J3)</f>
        <v/>
      </c>
      <c r="L3" s="231"/>
      <c r="M3" s="259"/>
    </row>
    <row r="4" spans="1:13" x14ac:dyDescent="0.2">
      <c r="A4" s="237"/>
      <c r="B4" s="244">
        <v>2</v>
      </c>
      <c r="C4" s="244" t="s">
        <v>141</v>
      </c>
      <c r="D4" s="245" t="b">
        <v>1</v>
      </c>
      <c r="E4" s="246" t="str">
        <v>U5</v>
      </c>
      <c r="F4" s="271" t="e">
        <f ca="1">_xll.qlIMMdate(E4)</f>
        <v>#NAME?</v>
      </c>
      <c r="G4" s="245" t="str">
        <f>PROPER(Currency)&amp;FamilyName&amp;$G$1</f>
        <v>Euribor3M</v>
      </c>
      <c r="H4" s="247" t="str">
        <f>Currency&amp;"OIS"&amp;$E4&amp;QuoteSuffix</f>
        <v>EUROISU5_Quote</v>
      </c>
      <c r="I4" s="261">
        <v>0</v>
      </c>
      <c r="J4" s="248" t="e">
        <f>_xll.qlFuturesRateHelper(,$H4,$C4,$E4,$G4,$I4,Permanent,Trigger,ObjectOverwrite)</f>
        <v>#VALUE!</v>
      </c>
      <c r="K4" s="249" t="str">
        <f ca="1">_xll.ohRangeRetrieveError(J4)</f>
        <v/>
      </c>
      <c r="L4" s="231"/>
      <c r="M4" s="259"/>
    </row>
    <row r="5" spans="1:13" x14ac:dyDescent="0.2">
      <c r="A5" s="237"/>
      <c r="B5" s="244">
        <v>3</v>
      </c>
      <c r="C5" s="244" t="s">
        <v>141</v>
      </c>
      <c r="D5" s="245" t="b">
        <v>1</v>
      </c>
      <c r="E5" s="246" t="str">
        <v>Z5</v>
      </c>
      <c r="F5" s="271" t="e">
        <f ca="1">_xll.qlIMMdate(E5)</f>
        <v>#NAME?</v>
      </c>
      <c r="G5" s="245" t="str">
        <f>PROPER(Currency)&amp;FamilyName&amp;$G$1</f>
        <v>Euribor3M</v>
      </c>
      <c r="H5" s="247" t="str">
        <f>Currency&amp;"OIS"&amp;$E5&amp;QuoteSuffix</f>
        <v>EUROISZ5_Quote</v>
      </c>
      <c r="I5" s="261">
        <v>0</v>
      </c>
      <c r="J5" s="248" t="e">
        <f>_xll.qlFuturesRateHelper(,$H5,$C5,$E5,$G5,$I5,Permanent,Trigger,ObjectOverwrite)</f>
        <v>#VALUE!</v>
      </c>
      <c r="K5" s="249" t="str">
        <f ca="1">_xll.ohRangeRetrieveError(J5)</f>
        <v/>
      </c>
      <c r="L5" s="231"/>
      <c r="M5" s="259"/>
    </row>
    <row r="6" spans="1:13" x14ac:dyDescent="0.2">
      <c r="A6" s="237"/>
      <c r="B6" s="244">
        <v>4</v>
      </c>
      <c r="C6" s="244" t="s">
        <v>141</v>
      </c>
      <c r="D6" s="245" t="b">
        <v>1</v>
      </c>
      <c r="E6" s="246" t="str">
        <v>H6</v>
      </c>
      <c r="F6" s="271" t="e">
        <f ca="1">_xll.qlIMMdate(E6)</f>
        <v>#NAME?</v>
      </c>
      <c r="G6" s="245" t="str">
        <f>PROPER(Currency)&amp;FamilyName&amp;$G$1</f>
        <v>Euribor3M</v>
      </c>
      <c r="H6" s="247" t="str">
        <f>Currency&amp;"OIS"&amp;$E6&amp;QuoteSuffix</f>
        <v>EUROISH6_Quote</v>
      </c>
      <c r="I6" s="261">
        <v>0</v>
      </c>
      <c r="J6" s="248" t="e">
        <f>_xll.qlFuturesRateHelper(,$H6,$C6,$E6,$G6,$I6,Permanent,Trigger,ObjectOverwrite)</f>
        <v>#VALUE!</v>
      </c>
      <c r="K6" s="249" t="str">
        <f ca="1">_xll.ohRangeRetrieveError(J6)</f>
        <v/>
      </c>
      <c r="L6" s="231"/>
      <c r="M6" s="259"/>
    </row>
    <row r="7" spans="1:13" x14ac:dyDescent="0.2">
      <c r="A7" s="237"/>
      <c r="B7" s="250">
        <v>5</v>
      </c>
      <c r="C7" s="250" t="s">
        <v>141</v>
      </c>
      <c r="D7" s="251" t="b">
        <v>1</v>
      </c>
      <c r="E7" s="252" t="str">
        <v>M6</v>
      </c>
      <c r="F7" s="272" t="e">
        <f ca="1">_xll.qlIMMdate(E7)</f>
        <v>#NAME?</v>
      </c>
      <c r="G7" s="251" t="str">
        <f>PROPER(Currency)&amp;FamilyName&amp;$G$1</f>
        <v>Euribor3M</v>
      </c>
      <c r="H7" s="253" t="str">
        <f>Currency&amp;"OIS"&amp;$E7&amp;QuoteSuffix</f>
        <v>EUROISM6_Quote</v>
      </c>
      <c r="I7" s="262">
        <v>0</v>
      </c>
      <c r="J7" s="254" t="e">
        <f>_xll.qlFuturesRateHelper(,$H7,$C7,$E7,$G7,$I7,Permanent,Trigger,ObjectOverwrite)</f>
        <v>#VALUE!</v>
      </c>
      <c r="K7" s="255" t="str">
        <f ca="1">_xll.ohRangeRetrieveError(J7)</f>
        <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election activeCell="G2" sqref="G2"/>
    </sheetView>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e">
        <f>_xll.qlEonia(,,Permanent,Trigger,ObjectOverwrite)</f>
        <v>#NUM!</v>
      </c>
      <c r="H3" s="88" t="str">
        <f ca="1">_xll.ohRangeRetrieveError(G3)</f>
        <v>qlEonia - ObjectHandler error: attempt to retrieve object with unknown ID 'TRUE'</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e">
        <f>_xll.qlOISRateHelper(,B5,C5,F5,$G$3,,Permanent,Trigger,ObjectOverwrite)</f>
        <v>#VALUE!</v>
      </c>
      <c r="H5" s="203" t="str">
        <f ca="1">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e">
        <f>_xll.qlOISRateHelper(,B6,C6,F6,$G$3,,Permanent,Trigger,ObjectOverwrite)</f>
        <v>#VALUE!</v>
      </c>
      <c r="H6" s="209" t="str">
        <f ca="1">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e">
        <f>_xll.qlOISRateHelper(,B7,C7,F7,$G$3,,Permanent,Trigger,ObjectOverwrite)</f>
        <v>#VALUE!</v>
      </c>
      <c r="H7" s="209" t="str">
        <f ca="1">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e">
        <f>_xll.qlOISRateHelper(,B8,C8,F8,$G$3,,Permanent,Trigger,ObjectOverwrite)</f>
        <v>#VALUE!</v>
      </c>
      <c r="H8" s="209" t="str">
        <f ca="1">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e">
        <f>_xll.qlOISRateHelper(,B9,C9,F9,$G$3,,Permanent,Trigger,ObjectOverwrite)</f>
        <v>#VALUE!</v>
      </c>
      <c r="H9" s="209" t="str">
        <f ca="1">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e">
        <f>_xll.qlOISRateHelper(,B10,C10,F10,$G$3,,Permanent,Trigger,ObjectOverwrite)</f>
        <v>#VALUE!</v>
      </c>
      <c r="H10" s="209" t="str">
        <f ca="1">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e">
        <f>_xll.qlOISRateHelper(,B11,C11,F11,$G$3,,Permanent,Trigger,ObjectOverwrite)</f>
        <v>#VALUE!</v>
      </c>
      <c r="H11" s="209" t="str">
        <f ca="1">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e">
        <f>_xll.qlOISRateHelper(,B12,C12,F12,$G$3,,Permanent,Trigger,ObjectOverwrite)</f>
        <v>#VALUE!</v>
      </c>
      <c r="H12" s="209" t="str">
        <f ca="1">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e">
        <f>_xll.qlOISRateHelper(,B13,C13,F13,$G$3,,Permanent,Trigger,ObjectOverwrite)</f>
        <v>#VALUE!</v>
      </c>
      <c r="H13" s="209" t="str">
        <f ca="1">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e">
        <f>_xll.qlOISRateHelper(,B14,C14,F14,$G$3,,Permanent,Trigger,ObjectOverwrite)</f>
        <v>#VALUE!</v>
      </c>
      <c r="H14" s="209" t="str">
        <f ca="1">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e">
        <f>_xll.qlOISRateHelper(,B15,C15,F15,$G$3,,Permanent,Trigger,ObjectOverwrite)</f>
        <v>#VALUE!</v>
      </c>
      <c r="H15" s="209" t="str">
        <f ca="1">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e">
        <f>_xll.qlOISRateHelper(,B16,C16,F16,$G$3,,Permanent,Trigger,ObjectOverwrite)</f>
        <v>#VALUE!</v>
      </c>
      <c r="H16" s="209" t="str">
        <f ca="1">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e">
        <f>_xll.qlOISRateHelper(,B17,C17,F17,$G$3,,Permanent,Trigger,ObjectOverwrite)</f>
        <v>#VALUE!</v>
      </c>
      <c r="H17" s="209" t="str">
        <f ca="1">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e">
        <f>_xll.qlOISRateHelper(,B18,C18,F18,$G$3,,Permanent,Trigger,ObjectOverwrite)</f>
        <v>#VALUE!</v>
      </c>
      <c r="H18" s="209" t="str">
        <f ca="1">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e">
        <f>_xll.qlOISRateHelper(,B19,C19,F19,$G$3,,Permanent,Trigger,ObjectOverwrite)</f>
        <v>#VALUE!</v>
      </c>
      <c r="H19" s="209" t="str">
        <f ca="1">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e">
        <f>_xll.qlOISRateHelper(,B20,C20,F20,$G$3,,Permanent,Trigger,ObjectOverwrite)</f>
        <v>#VALUE!</v>
      </c>
      <c r="H20" s="209" t="str">
        <f ca="1">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e">
        <f>_xll.qlOISRateHelper(,B21,C21,F21,$G$3,,Permanent,Trigger,ObjectOverwrite)</f>
        <v>#VALUE!</v>
      </c>
      <c r="H21" s="209" t="str">
        <f ca="1">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e">
        <f>_xll.qlOISRateHelper(,B22,C22,F22,$G$3,,Permanent,Trigger,ObjectOverwrite)</f>
        <v>#VALUE!</v>
      </c>
      <c r="H22" s="209" t="str">
        <f ca="1">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e">
        <f>_xll.qlOISRateHelper(,B23,C23,F23,$G$3,,Permanent,Trigger,ObjectOverwrite)</f>
        <v>#VALUE!</v>
      </c>
      <c r="H23" s="209" t="str">
        <f ca="1">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e">
        <f>_xll.qlOISRateHelper(,B24,C24,F24,$G$3,,Permanent,Trigger,ObjectOverwrite)</f>
        <v>#VALUE!</v>
      </c>
      <c r="H24" s="209" t="str">
        <f ca="1">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e">
        <f>_xll.qlOISRateHelper(,B25,C25,F25,$G$3,,Permanent,Trigger,ObjectOverwrite)</f>
        <v>#VALUE!</v>
      </c>
      <c r="H25" s="209" t="str">
        <f ca="1">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e">
        <f>_xll.qlOISRateHelper(,B26,C26,F26,$G$3,,Permanent,Trigger,ObjectOverwrite)</f>
        <v>#VALUE!</v>
      </c>
      <c r="H26" s="209" t="str">
        <f ca="1">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e">
        <f>_xll.qlOISRateHelper(,B27,C27,F27,$G$3,,Permanent,Trigger,ObjectOverwrite)</f>
        <v>#VALUE!</v>
      </c>
      <c r="H27" s="209" t="str">
        <f ca="1">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e">
        <f>_xll.qlOISRateHelper(,B28,C28,F28,$G$3,,Permanent,Trigger,ObjectOverwrite)</f>
        <v>#VALUE!</v>
      </c>
      <c r="H28" s="209" t="str">
        <f ca="1">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e">
        <f>_xll.qlOISRateHelper(,B29,C29,F29,$G$3,,Permanent,Trigger,ObjectOverwrite)</f>
        <v>#VALUE!</v>
      </c>
      <c r="H29" s="209" t="str">
        <f ca="1">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e">
        <f>_xll.qlOISRateHelper(,B30,C30,F30,$G$3,,Permanent,Trigger,ObjectOverwrite)</f>
        <v>#VALUE!</v>
      </c>
      <c r="H30" s="209" t="str">
        <f ca="1">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e">
        <f>_xll.qlOISRateHelper(,B31,C31,F31,$G$3,,Permanent,Trigger,ObjectOverwrite)</f>
        <v>#VALUE!</v>
      </c>
      <c r="H31" s="209" t="str">
        <f ca="1">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e">
        <f>_xll.qlOISRateHelper(,B32,C32,F32,$G$3,,Permanent,Trigger,ObjectOverwrite)</f>
        <v>#VALUE!</v>
      </c>
      <c r="H32" s="209" t="str">
        <f ca="1">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e">
        <f>_xll.qlOISRateHelper(,B33,C33,F33,$G$3,,Permanent,Trigger,ObjectOverwrite)</f>
        <v>#VALUE!</v>
      </c>
      <c r="H33" s="209" t="str">
        <f ca="1">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e">
        <f>_xll.qlOISRateHelper(,B34,C34,F34,$G$3,,Permanent,Trigger,ObjectOverwrite)</f>
        <v>#VALUE!</v>
      </c>
      <c r="H34" s="209" t="str">
        <f ca="1">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e">
        <f>_xll.qlOISRateHelper(,B35,C35,F35,$G$3,,Permanent,Trigger,ObjectOverwrite)</f>
        <v>#VALUE!</v>
      </c>
      <c r="H35" s="209" t="str">
        <f ca="1">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e">
        <f>_xll.qlOISRateHelper(,B36,C36,F36,$G$3,,Permanent,Trigger,ObjectOverwrite)</f>
        <v>#VALUE!</v>
      </c>
      <c r="H36" s="209" t="str">
        <f ca="1">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e">
        <f>_xll.qlOISRateHelper(,B37,C37,F37,$G$3,,Permanent,Trigger,ObjectOverwrite)</f>
        <v>#VALUE!</v>
      </c>
      <c r="H37" s="209" t="str">
        <f ca="1">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e">
        <f>_xll.qlOISRateHelper(,B38,C38,F38,$G$3,,Permanent,Trigger,ObjectOverwrite)</f>
        <v>#VALUE!</v>
      </c>
      <c r="H38" s="209" t="str">
        <f ca="1">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e">
        <f>_xll.qlOISRateHelper(,B39,C39,F39,$G$3,,Permanent,Trigger,ObjectOverwrite)</f>
        <v>#VALUE!</v>
      </c>
      <c r="H39" s="209" t="str">
        <f ca="1">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e">
        <f>_xll.qlOISRateHelper(,B40,C40,F40,$G$3,,Permanent,Trigger,ObjectOverwrite)</f>
        <v>#VALUE!</v>
      </c>
      <c r="H40" s="215" t="str">
        <f ca="1">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t="e">
        <f>_xll.qlECBdate(E42,Trigger)</f>
        <v>#NUM!</v>
      </c>
      <c r="D42" s="217" t="s">
        <v>125</v>
      </c>
      <c r="E42" s="217" t="e">
        <f>_xll.qlECBnextCode(_xll.qlCalendarAdvance(Calendar,_xll.qlSettingsEvaluationDate(Trigger),"2D",),Trigger)</f>
        <v>#NUM!</v>
      </c>
      <c r="F42" s="218" t="e">
        <f t="shared" si="0"/>
        <v>#NUM!</v>
      </c>
      <c r="G42" s="219" t="e">
        <f>_xll.qlDatedOISRateHelper(,C42,C43,F42,$G$3,,Permanent,Trigger,ObjectOverwrite)</f>
        <v>#VALUE!</v>
      </c>
      <c r="H42" s="203" t="str">
        <f ca="1">_xll.ohRangeRetrieveError(G42)</f>
        <v/>
      </c>
      <c r="I42" s="86"/>
    </row>
    <row r="43" spans="1:12" x14ac:dyDescent="0.2">
      <c r="A43" s="63"/>
      <c r="B43" s="220"/>
      <c r="C43" s="274" t="e">
        <f>_xll.qlECBdate(E43,Trigger)</f>
        <v>#NUM!</v>
      </c>
      <c r="D43" s="221" t="s">
        <v>125</v>
      </c>
      <c r="E43" s="221" t="e">
        <f>_xll.qlECBnextCode(C42,Trigger)</f>
        <v>#NUM!</v>
      </c>
      <c r="F43" s="222" t="e">
        <f t="shared" si="0"/>
        <v>#NUM!</v>
      </c>
      <c r="G43" s="223" t="e">
        <f>_xll.qlDatedOISRateHelper(,C43,C44,F43,$G$3,,Permanent,Trigger,ObjectOverwrite)</f>
        <v>#VALUE!</v>
      </c>
      <c r="H43" s="209" t="str">
        <f ca="1">_xll.ohRangeRetrieveError(G43)</f>
        <v/>
      </c>
      <c r="I43" s="86"/>
    </row>
    <row r="44" spans="1:12" x14ac:dyDescent="0.2">
      <c r="A44" s="63"/>
      <c r="B44" s="220"/>
      <c r="C44" s="274" t="e">
        <f>_xll.qlECBdate(E44,Trigger)</f>
        <v>#NUM!</v>
      </c>
      <c r="D44" s="221" t="s">
        <v>125</v>
      </c>
      <c r="E44" s="221" t="e">
        <f>_xll.qlECBnextCode(C43,Trigger)</f>
        <v>#NUM!</v>
      </c>
      <c r="F44" s="222" t="e">
        <f t="shared" si="0"/>
        <v>#NUM!</v>
      </c>
      <c r="G44" s="223" t="e">
        <f>_xll.qlDatedOISRateHelper(,C44,C45,F44,$G$3,,Permanent,Trigger,ObjectOverwrite)</f>
        <v>#VALUE!</v>
      </c>
      <c r="H44" s="209" t="str">
        <f ca="1">_xll.ohRangeRetrieveError(G44)</f>
        <v/>
      </c>
      <c r="I44" s="86"/>
    </row>
    <row r="45" spans="1:12" x14ac:dyDescent="0.2">
      <c r="A45" s="63"/>
      <c r="B45" s="220"/>
      <c r="C45" s="274" t="e">
        <f>_xll.qlECBdate(E45,Trigger)</f>
        <v>#NUM!</v>
      </c>
      <c r="D45" s="221" t="s">
        <v>125</v>
      </c>
      <c r="E45" s="221" t="e">
        <f>_xll.qlECBnextCode(C44,Trigger)</f>
        <v>#NUM!</v>
      </c>
      <c r="F45" s="222" t="e">
        <f t="shared" si="0"/>
        <v>#NUM!</v>
      </c>
      <c r="G45" s="223" t="e">
        <f>_xll.qlDatedOISRateHelper(,C45,C46,F45,$G$3,,Permanent,Trigger,ObjectOverwrite)</f>
        <v>#VALUE!</v>
      </c>
      <c r="H45" s="209" t="str">
        <f ca="1">_xll.ohRangeRetrieveError(G45)</f>
        <v/>
      </c>
      <c r="I45" s="86"/>
    </row>
    <row r="46" spans="1:12" x14ac:dyDescent="0.2">
      <c r="A46" s="63"/>
      <c r="B46" s="220"/>
      <c r="C46" s="274" t="e">
        <f>_xll.qlECBdate(E46,Trigger)</f>
        <v>#NUM!</v>
      </c>
      <c r="D46" s="221" t="s">
        <v>125</v>
      </c>
      <c r="E46" s="221" t="e">
        <f>_xll.qlECBnextCode(C45,Trigger)</f>
        <v>#NUM!</v>
      </c>
      <c r="F46" s="222" t="e">
        <f t="shared" si="0"/>
        <v>#NUM!</v>
      </c>
      <c r="G46" s="223" t="e">
        <f>_xll.qlDatedOISRateHelper(,C46,C47,F46,$G$3,,Permanent,Trigger,ObjectOverwrite)</f>
        <v>#VALUE!</v>
      </c>
      <c r="H46" s="209" t="str">
        <f ca="1">_xll.ohRangeRetrieveError(G46)</f>
        <v/>
      </c>
      <c r="I46" s="86"/>
    </row>
    <row r="47" spans="1:12" x14ac:dyDescent="0.2">
      <c r="A47" s="63"/>
      <c r="B47" s="220"/>
      <c r="C47" s="274" t="e">
        <f>_xll.qlECBdate(E47,Trigger)</f>
        <v>#NUM!</v>
      </c>
      <c r="D47" s="221" t="s">
        <v>125</v>
      </c>
      <c r="E47" s="221" t="e">
        <f>_xll.qlECBnextCode(C46,Trigger)</f>
        <v>#NUM!</v>
      </c>
      <c r="F47" s="222" t="e">
        <f t="shared" si="0"/>
        <v>#NUM!</v>
      </c>
      <c r="G47" s="223" t="e">
        <f>_xll.qlDatedOISRateHelper(,C47,C48,F47,$G$3,,Permanent,Trigger,ObjectOverwrite)</f>
        <v>#VALUE!</v>
      </c>
      <c r="H47" s="209" t="str">
        <f ca="1">_xll.ohRangeRetrieveError(G47)</f>
        <v/>
      </c>
      <c r="I47" s="86"/>
    </row>
    <row r="48" spans="1:12" x14ac:dyDescent="0.2">
      <c r="A48" s="63"/>
      <c r="B48" s="220"/>
      <c r="C48" s="274" t="e">
        <f>_xll.qlECBdate(E48,Trigger)</f>
        <v>#NUM!</v>
      </c>
      <c r="D48" s="221" t="s">
        <v>125</v>
      </c>
      <c r="E48" s="221" t="e">
        <f>_xll.qlECBnextCode(C47,Trigger)</f>
        <v>#NUM!</v>
      </c>
      <c r="F48" s="222" t="e">
        <f t="shared" si="0"/>
        <v>#NUM!</v>
      </c>
      <c r="G48" s="223" t="e">
        <f>_xll.qlDatedOISRateHelper(,C48,C49,F48,$G$3,,Permanent,Trigger,ObjectOverwrite)</f>
        <v>#VALUE!</v>
      </c>
      <c r="H48" s="209" t="str">
        <f ca="1">_xll.ohRangeRetrieveError(G48)</f>
        <v/>
      </c>
      <c r="I48" s="86"/>
    </row>
    <row r="49" spans="1:9" x14ac:dyDescent="0.2">
      <c r="A49" s="63"/>
      <c r="B49" s="220"/>
      <c r="C49" s="274" t="e">
        <f>_xll.qlECBdate(E49,Trigger)</f>
        <v>#NUM!</v>
      </c>
      <c r="D49" s="221" t="s">
        <v>125</v>
      </c>
      <c r="E49" s="221" t="e">
        <f>_xll.qlECBnextCode(C48,Trigger)</f>
        <v>#NUM!</v>
      </c>
      <c r="F49" s="222" t="e">
        <f t="shared" si="0"/>
        <v>#NUM!</v>
      </c>
      <c r="G49" s="223" t="e">
        <f>_xll.qlDatedOISRateHelper(,C49,C50,F49,$G$3,,Permanent,Trigger,ObjectOverwrite)</f>
        <v>#VALUE!</v>
      </c>
      <c r="H49" s="209" t="str">
        <f ca="1">_xll.ohRangeRetrieveError(G49)</f>
        <v/>
      </c>
      <c r="I49" s="86"/>
    </row>
    <row r="50" spans="1:9" x14ac:dyDescent="0.2">
      <c r="A50" s="63"/>
      <c r="B50" s="220"/>
      <c r="C50" s="274" t="e">
        <f>_xll.qlECBdate(E50,Trigger)</f>
        <v>#NUM!</v>
      </c>
      <c r="D50" s="221" t="s">
        <v>125</v>
      </c>
      <c r="E50" s="221" t="e">
        <f>_xll.qlECBnextCode(C49,Trigger)</f>
        <v>#NUM!</v>
      </c>
      <c r="F50" s="222" t="e">
        <f t="shared" si="0"/>
        <v>#NUM!</v>
      </c>
      <c r="G50" s="223" t="e">
        <f>_xll.qlDatedOISRateHelper(,C50,C51,F50,$G$3,,Permanent,Trigger,ObjectOverwrite)</f>
        <v>#VALUE!</v>
      </c>
      <c r="H50" s="209" t="str">
        <f ca="1">_xll.ohRangeRetrieveError(G50)</f>
        <v/>
      </c>
      <c r="I50" s="86"/>
    </row>
    <row r="51" spans="1:9" x14ac:dyDescent="0.2">
      <c r="A51" s="63"/>
      <c r="B51" s="220"/>
      <c r="C51" s="274" t="e">
        <f>_xll.qlECBdate(E51,Trigger)</f>
        <v>#NUM!</v>
      </c>
      <c r="D51" s="221" t="s">
        <v>125</v>
      </c>
      <c r="E51" s="221" t="e">
        <f>_xll.qlECBnextCode(C50,Trigger)</f>
        <v>#NUM!</v>
      </c>
      <c r="F51" s="222" t="e">
        <f t="shared" si="0"/>
        <v>#NUM!</v>
      </c>
      <c r="G51" s="223" t="e">
        <f>_xll.qlDatedOISRateHelper(,C51,C52,F51,$G$3,,Permanent,Trigger,ObjectOverwrite)</f>
        <v>#VALUE!</v>
      </c>
      <c r="H51" s="209" t="str">
        <f ca="1">_xll.ohRangeRetrieveError(G51)</f>
        <v/>
      </c>
      <c r="I51" s="86"/>
    </row>
    <row r="52" spans="1:9" x14ac:dyDescent="0.2">
      <c r="A52" s="63"/>
      <c r="B52" s="220"/>
      <c r="C52" s="274" t="e">
        <f>_xll.qlECBdate(E52,Trigger)</f>
        <v>#NUM!</v>
      </c>
      <c r="D52" s="221" t="s">
        <v>125</v>
      </c>
      <c r="E52" s="221" t="e">
        <f>_xll.qlECBnextCode(C51,Trigger)</f>
        <v>#NUM!</v>
      </c>
      <c r="F52" s="222" t="e">
        <f t="shared" si="0"/>
        <v>#NUM!</v>
      </c>
      <c r="G52" s="223" t="e">
        <f>_xll.qlDatedOISRateHelper(,C52,C53,F52,$G$3,,Permanent,Trigger,ObjectOverwrite)</f>
        <v>#VALUE!</v>
      </c>
      <c r="H52" s="209" t="str">
        <f ca="1">_xll.ohRangeRetrieveError(G52)</f>
        <v/>
      </c>
      <c r="I52" s="86"/>
    </row>
    <row r="53" spans="1:9" x14ac:dyDescent="0.2">
      <c r="A53" s="63"/>
      <c r="B53" s="224"/>
      <c r="C53" s="275" t="e">
        <f>_xll.qlECBdate(E53,Trigger)</f>
        <v>#NUM!</v>
      </c>
      <c r="D53" s="225" t="s">
        <v>125</v>
      </c>
      <c r="E53" s="225" t="e">
        <f>_xll.qlECBnextCode(C52,Trigger)</f>
        <v>#NUM!</v>
      </c>
      <c r="F53" s="226" t="e">
        <f t="shared" si="0"/>
        <v>#NUM!</v>
      </c>
      <c r="G53" s="227" t="e">
        <f>_xll.qlDatedOISRateHelper(,C53,C54,F53,$G$3,,Permanent,Trigger,ObjectOverwrite)</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G5" sqref="G5"/>
    </sheetView>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t="e">
        <f>_xll.qlCalendarAdvance(Calendar,_xll.qlSettingsEvaluationDate(),NDays&amp;"D","f",,Trigger)</f>
        <v>#NUM!</v>
      </c>
      <c r="E2" s="188"/>
      <c r="F2" s="188"/>
      <c r="G2" s="188"/>
      <c r="H2" s="189"/>
    </row>
    <row r="3" spans="1:8" ht="22.5" x14ac:dyDescent="0.2">
      <c r="A3" s="188"/>
      <c r="B3" s="188"/>
      <c r="C3" s="276" t="s">
        <v>129</v>
      </c>
      <c r="D3" s="278" t="e">
        <f>_xll.qlCalendarEndOfMonth(Calendar,EDATE(DATE(YEAR(D2),MONTH(D2),1),-1))</f>
        <v>#VALUE!</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t="e">
        <f>_xll.qlCalendarEndOfMonth(Calendar,_xll.qlCalendarAdvance(Calendar,D3,"1m","mf",FALSE),Trigger)</f>
        <v>#VALUE!</v>
      </c>
      <c r="D6" s="192" t="str">
        <f t="shared" ref="D6:D18" si="0">Currency&amp;"Jump"&amp;B6&amp;"_SYNTHON"&amp;QuoteSuffix</f>
        <v>EURJump1_SYNTHON_Quote</v>
      </c>
      <c r="E6" s="183" t="e">
        <f ca="1">IF(_xll.qlQuoteIsValid(D6,Trigger),_xll.qlQuoteValue(D6,Trigger),1)</f>
        <v>#NAME?</v>
      </c>
      <c r="F6" s="182"/>
      <c r="G6" s="183" t="str">
        <f>IF(ISBLANK(F6),D6,F6)</f>
        <v>EURJump1_SYNTHON_Quote</v>
      </c>
      <c r="H6" s="189"/>
    </row>
    <row r="7" spans="1:8" ht="13.35" customHeight="1" x14ac:dyDescent="0.2">
      <c r="A7" s="188"/>
      <c r="B7" s="194">
        <v>2</v>
      </c>
      <c r="C7" s="195" t="e">
        <f>_xll.qlCalendarEndOfMonth(Calendar,_xll.qlCalendarAdvance(Calendar,C6,"1m","mf",TRUE),Trigger)</f>
        <v>#VALUE!</v>
      </c>
      <c r="D7" s="194" t="str">
        <f t="shared" si="0"/>
        <v>EURJump2_SYNTHON_Quote</v>
      </c>
      <c r="E7" s="185" t="e">
        <f ca="1">IF(_xll.qlQuoteIsValid(D7,Trigger),_xll.qlQuoteValue(D7,Trigger),1)</f>
        <v>#NAME?</v>
      </c>
      <c r="F7" s="184"/>
      <c r="G7" s="185" t="str">
        <f t="shared" ref="G7:G18" si="1">IF(ISBLANK(F7),D7,F7)</f>
        <v>EURJump2_SYNTHON_Quote</v>
      </c>
      <c r="H7" s="189"/>
    </row>
    <row r="8" spans="1:8" ht="13.35" customHeight="1" x14ac:dyDescent="0.2">
      <c r="A8" s="188"/>
      <c r="B8" s="194">
        <v>3</v>
      </c>
      <c r="C8" s="195" t="e">
        <f>_xll.qlCalendarEndOfMonth(Calendar,_xll.qlCalendarAdvance(Calendar,C7,"1m","mf",TRUE),Trigger)</f>
        <v>#VALUE!</v>
      </c>
      <c r="D8" s="194" t="str">
        <f t="shared" si="0"/>
        <v>EURJump3_SYNTHON_Quote</v>
      </c>
      <c r="E8" s="185" t="e">
        <f ca="1">IF(_xll.qlQuoteIsValid(D8,Trigger),_xll.qlQuoteValue(D8,Trigger),1)</f>
        <v>#NAME?</v>
      </c>
      <c r="F8" s="184"/>
      <c r="G8" s="185" t="str">
        <f t="shared" si="1"/>
        <v>EURJump3_SYNTHON_Quote</v>
      </c>
      <c r="H8" s="189"/>
    </row>
    <row r="9" spans="1:8" ht="13.35" customHeight="1" x14ac:dyDescent="0.2">
      <c r="A9" s="188"/>
      <c r="B9" s="194">
        <v>4</v>
      </c>
      <c r="C9" s="195" t="e">
        <f>_xll.qlCalendarEndOfMonth(Calendar,_xll.qlCalendarAdvance(Calendar,C8,"1m","mf",TRUE),Trigger)</f>
        <v>#VALUE!</v>
      </c>
      <c r="D9" s="194" t="str">
        <f t="shared" si="0"/>
        <v>EURJump4_SYNTHON_Quote</v>
      </c>
      <c r="E9" s="185" t="e">
        <f ca="1">IF(_xll.qlQuoteIsValid(D9,Trigger),_xll.qlQuoteValue(D9,Trigger),1)</f>
        <v>#NAME?</v>
      </c>
      <c r="F9" s="184"/>
      <c r="G9" s="185" t="str">
        <f t="shared" si="1"/>
        <v>EURJump4_SYNTHON_Quote</v>
      </c>
      <c r="H9" s="189"/>
    </row>
    <row r="10" spans="1:8" ht="13.35" customHeight="1" x14ac:dyDescent="0.2">
      <c r="A10" s="188"/>
      <c r="B10" s="194">
        <v>5</v>
      </c>
      <c r="C10" s="195" t="e">
        <f>_xll.qlCalendarEndOfMonth(Calendar,_xll.qlCalendarAdvance(Calendar,C9,"1m","mf",TRUE),Trigger)</f>
        <v>#VALUE!</v>
      </c>
      <c r="D10" s="194" t="str">
        <f t="shared" si="0"/>
        <v>EURJump5_SYNTHON_Quote</v>
      </c>
      <c r="E10" s="185" t="e">
        <f ca="1">IF(_xll.qlQuoteIsValid(D10,Trigger),_xll.qlQuoteValue(D10,Trigger),1)</f>
        <v>#NAME?</v>
      </c>
      <c r="F10" s="184"/>
      <c r="G10" s="185" t="str">
        <f t="shared" si="1"/>
        <v>EURJump5_SYNTHON_Quote</v>
      </c>
      <c r="H10" s="189"/>
    </row>
    <row r="11" spans="1:8" ht="13.35" customHeight="1" x14ac:dyDescent="0.2">
      <c r="A11" s="188"/>
      <c r="B11" s="194">
        <v>6</v>
      </c>
      <c r="C11" s="195" t="e">
        <f>_xll.qlCalendarEndOfMonth(Calendar,_xll.qlCalendarAdvance(Calendar,C10,"1m","mf",TRUE),Trigger)</f>
        <v>#VALUE!</v>
      </c>
      <c r="D11" s="194" t="str">
        <f t="shared" si="0"/>
        <v>EURJump6_SYNTHON_Quote</v>
      </c>
      <c r="E11" s="185" t="e">
        <f ca="1">IF(_xll.qlQuoteIsValid(D11,Trigger),_xll.qlQuoteValue(D11,Trigger),1)</f>
        <v>#NAME?</v>
      </c>
      <c r="F11" s="184"/>
      <c r="G11" s="185" t="str">
        <f t="shared" si="1"/>
        <v>EURJump6_SYNTHON_Quote</v>
      </c>
      <c r="H11" s="189"/>
    </row>
    <row r="12" spans="1:8" ht="13.35" customHeight="1" x14ac:dyDescent="0.2">
      <c r="A12" s="188"/>
      <c r="B12" s="194">
        <v>7</v>
      </c>
      <c r="C12" s="195" t="e">
        <f>_xll.qlCalendarEndOfMonth(Calendar,_xll.qlCalendarAdvance(Calendar,C11,"1m","mf",TRUE),Trigger)</f>
        <v>#VALUE!</v>
      </c>
      <c r="D12" s="194" t="str">
        <f t="shared" si="0"/>
        <v>EURJump7_SYNTHON_Quote</v>
      </c>
      <c r="E12" s="185" t="e">
        <f ca="1">IF(_xll.qlQuoteIsValid(D12,Trigger),_xll.qlQuoteValue(D12,Trigger),1)</f>
        <v>#NAME?</v>
      </c>
      <c r="F12" s="184"/>
      <c r="G12" s="185" t="str">
        <f t="shared" si="1"/>
        <v>EURJump7_SYNTHON_Quote</v>
      </c>
      <c r="H12" s="189"/>
    </row>
    <row r="13" spans="1:8" ht="13.35" customHeight="1" x14ac:dyDescent="0.2">
      <c r="A13" s="188"/>
      <c r="B13" s="194">
        <v>8</v>
      </c>
      <c r="C13" s="195" t="e">
        <f>_xll.qlCalendarEndOfMonth(Calendar,_xll.qlCalendarAdvance(Calendar,C12,"1m","mf",TRUE),Trigger)</f>
        <v>#VALUE!</v>
      </c>
      <c r="D13" s="194" t="str">
        <f t="shared" si="0"/>
        <v>EURJump8_SYNTHON_Quote</v>
      </c>
      <c r="E13" s="185" t="e">
        <f ca="1">IF(_xll.qlQuoteIsValid(D13,Trigger),_xll.qlQuoteValue(D13,Trigger),1)</f>
        <v>#NAME?</v>
      </c>
      <c r="F13" s="184"/>
      <c r="G13" s="185" t="str">
        <f t="shared" si="1"/>
        <v>EURJump8_SYNTHON_Quote</v>
      </c>
      <c r="H13" s="189"/>
    </row>
    <row r="14" spans="1:8" ht="13.35" customHeight="1" x14ac:dyDescent="0.2">
      <c r="A14" s="188"/>
      <c r="B14" s="194">
        <v>9</v>
      </c>
      <c r="C14" s="195" t="e">
        <f>_xll.qlCalendarEndOfMonth(Calendar,_xll.qlCalendarAdvance(Calendar,C13,"1m","mf",TRUE),Trigger)</f>
        <v>#VALUE!</v>
      </c>
      <c r="D14" s="194" t="str">
        <f t="shared" si="0"/>
        <v>EURJump9_SYNTHON_Quote</v>
      </c>
      <c r="E14" s="185" t="e">
        <f ca="1">IF(_xll.qlQuoteIsValid(D14,Trigger),_xll.qlQuoteValue(D14,Trigger),1)</f>
        <v>#NAME?</v>
      </c>
      <c r="F14" s="184"/>
      <c r="G14" s="185" t="str">
        <f t="shared" si="1"/>
        <v>EURJump9_SYNTHON_Quote</v>
      </c>
      <c r="H14" s="189"/>
    </row>
    <row r="15" spans="1:8" ht="13.35" customHeight="1" x14ac:dyDescent="0.2">
      <c r="A15" s="188"/>
      <c r="B15" s="194">
        <v>10</v>
      </c>
      <c r="C15" s="195" t="e">
        <f>_xll.qlCalendarEndOfMonth(Calendar,_xll.qlCalendarAdvance(Calendar,C14,"1m","mf",TRUE),Trigger)</f>
        <v>#VALUE!</v>
      </c>
      <c r="D15" s="194" t="str">
        <f t="shared" si="0"/>
        <v>EURJump10_SYNTHON_Quote</v>
      </c>
      <c r="E15" s="185" t="e">
        <f ca="1">IF(_xll.qlQuoteIsValid(D15,Trigger),_xll.qlQuoteValue(D15,Trigger),1)</f>
        <v>#NAME?</v>
      </c>
      <c r="F15" s="184"/>
      <c r="G15" s="185" t="str">
        <f t="shared" si="1"/>
        <v>EURJump10_SYNTHON_Quote</v>
      </c>
      <c r="H15" s="189"/>
    </row>
    <row r="16" spans="1:8" ht="13.35" customHeight="1" x14ac:dyDescent="0.2">
      <c r="A16" s="188"/>
      <c r="B16" s="194">
        <v>11</v>
      </c>
      <c r="C16" s="195" t="e">
        <f>_xll.qlCalendarEndOfMonth(Calendar,_xll.qlCalendarAdvance(Calendar,C15,"1m","mf",TRUE),Trigger)</f>
        <v>#VALUE!</v>
      </c>
      <c r="D16" s="194" t="str">
        <f t="shared" si="0"/>
        <v>EURJump11_SYNTHON_Quote</v>
      </c>
      <c r="E16" s="185" t="e">
        <f ca="1">IF(_xll.qlQuoteIsValid(D16,Trigger),_xll.qlQuoteValue(D16,Trigger),1)</f>
        <v>#NAME?</v>
      </c>
      <c r="F16" s="184"/>
      <c r="G16" s="185" t="str">
        <f t="shared" si="1"/>
        <v>EURJump11_SYNTHON_Quote</v>
      </c>
      <c r="H16" s="189"/>
    </row>
    <row r="17" spans="1:8" ht="13.35" customHeight="1" x14ac:dyDescent="0.2">
      <c r="A17" s="188"/>
      <c r="B17" s="194">
        <v>12</v>
      </c>
      <c r="C17" s="195" t="e">
        <f>_xll.qlCalendarEndOfMonth(Calendar,_xll.qlCalendarAdvance(Calendar,C16,"1m","mf",TRUE),Trigger)</f>
        <v>#VALUE!</v>
      </c>
      <c r="D17" s="194" t="str">
        <f t="shared" si="0"/>
        <v>EURJump12_SYNTHON_Quote</v>
      </c>
      <c r="E17" s="185" t="e">
        <f ca="1">IF(_xll.qlQuoteIsValid(D17,Trigger),_xll.qlQuoteValue(D17,Trigger),1)</f>
        <v>#NAME?</v>
      </c>
      <c r="F17" s="184"/>
      <c r="G17" s="185" t="str">
        <f t="shared" si="1"/>
        <v>EURJump12_SYNTHON_Quote</v>
      </c>
      <c r="H17" s="189"/>
    </row>
    <row r="18" spans="1:8" ht="13.35" customHeight="1" x14ac:dyDescent="0.2">
      <c r="A18" s="188"/>
      <c r="B18" s="196">
        <v>13</v>
      </c>
      <c r="C18" s="197" t="e">
        <f ca="1">_xll.qlCalendarAdjust(Calendar,DATE(YEAR(D2)+1,12,31),"preceding",Trigger)</f>
        <v>#NAME?</v>
      </c>
      <c r="D18" s="196" t="str">
        <f t="shared" si="0"/>
        <v>EURJump13_SYNTHON_Quote</v>
      </c>
      <c r="E18" s="187" t="e">
        <f ca="1">IF(_xll.qlQuoteIsValid(D18,Trigger),_xll.qlQuoteValue(D18,Trigger),1)</f>
        <v>#NAME?</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 ca="1">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f t="array" ref="M11:M46" ca="1">_xll.ohFilter(RateHelpers!A19:A54,IF(ISERROR(RateHelpers!C19:C54),FALSE,TRUE))</f>
        <v>0</v>
      </c>
      <c r="N11" s="113" t="e">
        <f ca="1">_xll.qlRateHelperQuoteName(M11)</f>
        <v>#NAME?</v>
      </c>
      <c r="O11" s="112" t="e">
        <f ca="1">_xll.qlRateHelperLatestDate(M11,Trigger)</f>
        <v>#NUM!</v>
      </c>
      <c r="P11" s="118" t="e">
        <f ca="1">_xll.qlRateHelperQuoteValue(M11,_xll.ohTrigger(RecalcTrigger,YieldCurve))</f>
        <v>#NAME?</v>
      </c>
      <c r="Q11" s="122" t="e">
        <f t="shared" ref="Q11:Q46" ca="1" si="6">SUBSTITUTE(SUBSTITUTE(N11,"_Quote",""),"EUREON","")</f>
        <v>#NAME?</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aca="1" ref="AA11:AA3544" ca="1">IFERROR(_xll.qlIndexFixing(IborIndex,Y11:Y3544,TRUE,RecalcTrigger),NA())</f>
        <v>#N/A</v>
      </c>
      <c r="AB11" s="150"/>
    </row>
    <row r="12" spans="1:28" ht="12" thickBot="1" x14ac:dyDescent="0.25">
      <c r="J12" s="102"/>
      <c r="M12" s="113">
        <f ca="1"/>
        <v>0</v>
      </c>
      <c r="N12" s="113" t="e">
        <f ca="1">_xll.qlRateHelperQuoteName(M12)</f>
        <v>#NAME?</v>
      </c>
      <c r="O12" s="112" t="e">
        <f ca="1">_xll.qlRateHelperLatestDate(M12,Trigger)</f>
        <v>#NUM!</v>
      </c>
      <c r="P12" s="118" t="e">
        <f ca="1">_xll.qlRateHelperQuoteValue(M12,_xll.ohTrigger(RecalcTrigger,YieldCurve))</f>
        <v>#NAME?</v>
      </c>
      <c r="Q12" s="122" t="e">
        <f t="shared" ca="1" si="6"/>
        <v>#NAME?</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f ca="1"/>
        <v>#N/A</v>
      </c>
      <c r="AB12" s="150"/>
    </row>
    <row r="13" spans="1:28" ht="12" thickBot="1" x14ac:dyDescent="0.25">
      <c r="M13" s="113">
        <f ca="1"/>
        <v>0</v>
      </c>
      <c r="N13" s="113" t="e">
        <f ca="1">_xll.qlRateHelperQuoteName(M13)</f>
        <v>#NAME?</v>
      </c>
      <c r="O13" s="112" t="e">
        <f ca="1">_xll.qlRateHelperLatestDate(M13,Trigger)</f>
        <v>#NUM!</v>
      </c>
      <c r="P13" s="118" t="e">
        <f ca="1">_xll.qlRateHelperQuoteValue(M13,_xll.ohTrigger(RecalcTrigger,YieldCurve))</f>
        <v>#NAME?</v>
      </c>
      <c r="Q13" s="122" t="e">
        <f t="shared" ca="1" si="6"/>
        <v>#NAME?</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f ca="1"/>
        <v>#N/A</v>
      </c>
      <c r="AB13" s="150"/>
    </row>
    <row r="14" spans="1:28" ht="12" thickBot="1" x14ac:dyDescent="0.25">
      <c r="D14" s="99"/>
      <c r="E14" s="99"/>
      <c r="J14" s="173" t="s">
        <v>132</v>
      </c>
      <c r="M14" s="113">
        <f ca="1"/>
        <v>0</v>
      </c>
      <c r="N14" s="113" t="e">
        <f ca="1">_xll.qlRateHelperQuoteName(M14)</f>
        <v>#NAME?</v>
      </c>
      <c r="O14" s="112" t="e">
        <f ca="1">_xll.qlRateHelperLatestDate(M14,Trigger)</f>
        <v>#NUM!</v>
      </c>
      <c r="P14" s="118" t="e">
        <f ca="1">_xll.qlRateHelperQuoteValue(M14,_xll.ohTrigger(RecalcTrigger,YieldCurve))</f>
        <v>#NAME?</v>
      </c>
      <c r="Q14" s="122" t="e">
        <f t="shared" ca="1" si="6"/>
        <v>#NAME?</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f ca="1"/>
        <v>#N/A</v>
      </c>
      <c r="AB14" s="150"/>
    </row>
    <row r="15" spans="1:28" ht="12" thickBot="1" x14ac:dyDescent="0.25">
      <c r="J15" s="172" t="e">
        <f ca="1">ROUNDDOWN((_xll.qlTermStructureMaxDate(YieldCurve,Trigger)-_xll.qlTermStructureReferenceDate(YieldCurve,Trigger))/365,)&amp;"Y"</f>
        <v>#NAME?</v>
      </c>
      <c r="M15" s="113">
        <f ca="1"/>
        <v>0</v>
      </c>
      <c r="N15" s="113" t="e">
        <f ca="1">_xll.qlRateHelperQuoteName(M15)</f>
        <v>#NAME?</v>
      </c>
      <c r="O15" s="112" t="e">
        <f ca="1">_xll.qlRateHelperLatestDate(M15,Trigger)</f>
        <v>#NUM!</v>
      </c>
      <c r="P15" s="118" t="e">
        <f ca="1">_xll.qlRateHelperQuoteValue(M15,_xll.ohTrigger(RecalcTrigger,YieldCurve))</f>
        <v>#NAME?</v>
      </c>
      <c r="Q15" s="122" t="e">
        <f t="shared" ca="1" si="6"/>
        <v>#NAME?</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f ca="1"/>
        <v>#N/A</v>
      </c>
      <c r="AB15" s="151"/>
    </row>
    <row r="16" spans="1:28" x14ac:dyDescent="0.2">
      <c r="M16" s="113">
        <f ca="1"/>
        <v>0</v>
      </c>
      <c r="N16" s="113" t="e">
        <f ca="1">_xll.qlRateHelperQuoteName(M16)</f>
        <v>#NAME?</v>
      </c>
      <c r="O16" s="112" t="e">
        <f ca="1">_xll.qlRateHelperLatestDate(M16,Trigger)</f>
        <v>#NUM!</v>
      </c>
      <c r="P16" s="118" t="e">
        <f ca="1">_xll.qlRateHelperQuoteValue(M16,_xll.ohTrigger(RecalcTrigger,YieldCurve))</f>
        <v>#NAME?</v>
      </c>
      <c r="Q16" s="122" t="e">
        <f t="shared" ca="1" si="6"/>
        <v>#NAME?</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f ca="1"/>
        <v>#N/A</v>
      </c>
      <c r="AB16" s="151"/>
    </row>
    <row r="17" spans="13:28" x14ac:dyDescent="0.2">
      <c r="M17" s="113">
        <f ca="1"/>
        <v>0</v>
      </c>
      <c r="N17" s="113" t="e">
        <f ca="1">_xll.qlRateHelperQuoteName(M17)</f>
        <v>#NAME?</v>
      </c>
      <c r="O17" s="112" t="e">
        <f ca="1">_xll.qlRateHelperLatestDate(M17,Trigger)</f>
        <v>#NUM!</v>
      </c>
      <c r="P17" s="118" t="e">
        <f ca="1">_xll.qlRateHelperQuoteValue(M17,_xll.ohTrigger(RecalcTrigger,YieldCurve))</f>
        <v>#NAME?</v>
      </c>
      <c r="Q17" s="122" t="e">
        <f t="shared" ca="1" si="6"/>
        <v>#NAME?</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f ca="1"/>
        <v>#N/A</v>
      </c>
      <c r="AB17" s="151"/>
    </row>
    <row r="18" spans="13:28" x14ac:dyDescent="0.2">
      <c r="M18" s="113">
        <f ca="1"/>
        <v>0</v>
      </c>
      <c r="N18" s="113" t="e">
        <f ca="1">_xll.qlRateHelperQuoteName(M18)</f>
        <v>#NAME?</v>
      </c>
      <c r="O18" s="112" t="e">
        <f ca="1">_xll.qlRateHelperLatestDate(M18,Trigger)</f>
        <v>#NUM!</v>
      </c>
      <c r="P18" s="118" t="e">
        <f ca="1">_xll.qlRateHelperQuoteValue(M18,_xll.ohTrigger(RecalcTrigger,YieldCurve))</f>
        <v>#NAME?</v>
      </c>
      <c r="Q18" s="122" t="e">
        <f t="shared" ca="1" si="6"/>
        <v>#NAME?</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f ca="1"/>
        <v>#N/A</v>
      </c>
      <c r="AB18" s="151"/>
    </row>
    <row r="19" spans="13:28" x14ac:dyDescent="0.2">
      <c r="M19" s="113">
        <f ca="1"/>
        <v>0</v>
      </c>
      <c r="N19" s="113" t="e">
        <f ca="1">_xll.qlRateHelperQuoteName(M19)</f>
        <v>#NAME?</v>
      </c>
      <c r="O19" s="112" t="e">
        <f ca="1">_xll.qlRateHelperLatestDate(M19,Trigger)</f>
        <v>#NUM!</v>
      </c>
      <c r="P19" s="118" t="e">
        <f ca="1">_xll.qlRateHelperQuoteValue(M19,_xll.ohTrigger(RecalcTrigger,YieldCurve))</f>
        <v>#NAME?</v>
      </c>
      <c r="Q19" s="122" t="e">
        <f t="shared" ca="1" si="6"/>
        <v>#NAME?</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f ca="1"/>
        <v>#N/A</v>
      </c>
      <c r="AB19" s="151"/>
    </row>
    <row r="20" spans="13:28" x14ac:dyDescent="0.2">
      <c r="M20" s="113">
        <f ca="1"/>
        <v>0</v>
      </c>
      <c r="N20" s="113" t="e">
        <f ca="1">_xll.qlRateHelperQuoteName(M20)</f>
        <v>#NAME?</v>
      </c>
      <c r="O20" s="112" t="e">
        <f ca="1">_xll.qlRateHelperLatestDate(M20,Trigger)</f>
        <v>#NUM!</v>
      </c>
      <c r="P20" s="118" t="e">
        <f ca="1">_xll.qlRateHelperQuoteValue(M20,_xll.ohTrigger(RecalcTrigger,YieldCurve))</f>
        <v>#NAME?</v>
      </c>
      <c r="Q20" s="122" t="e">
        <f t="shared" ca="1" si="6"/>
        <v>#NAME?</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f ca="1"/>
        <v>#N/A</v>
      </c>
      <c r="AB20" s="151"/>
    </row>
    <row r="21" spans="13:28" x14ac:dyDescent="0.2">
      <c r="M21" s="113">
        <f ca="1"/>
        <v>0</v>
      </c>
      <c r="N21" s="113" t="e">
        <f ca="1">_xll.qlRateHelperQuoteName(M21)</f>
        <v>#NAME?</v>
      </c>
      <c r="O21" s="112" t="e">
        <f ca="1">_xll.qlRateHelperLatestDate(M21,Trigger)</f>
        <v>#NUM!</v>
      </c>
      <c r="P21" s="118" t="e">
        <f ca="1">_xll.qlRateHelperQuoteValue(M21,_xll.ohTrigger(RecalcTrigger,YieldCurve))</f>
        <v>#NAME?</v>
      </c>
      <c r="Q21" s="122" t="e">
        <f t="shared" ca="1" si="6"/>
        <v>#NAME?</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f ca="1"/>
        <v>#N/A</v>
      </c>
      <c r="AB21" s="151"/>
    </row>
    <row r="22" spans="13:28" x14ac:dyDescent="0.2">
      <c r="M22" s="113">
        <f ca="1"/>
        <v>0</v>
      </c>
      <c r="N22" s="113" t="e">
        <f ca="1">_xll.qlRateHelperQuoteName(M22)</f>
        <v>#NAME?</v>
      </c>
      <c r="O22" s="112" t="e">
        <f ca="1">_xll.qlRateHelperLatestDate(M22,Trigger)</f>
        <v>#NUM!</v>
      </c>
      <c r="P22" s="118" t="e">
        <f ca="1">_xll.qlRateHelperQuoteValue(M22,_xll.ohTrigger(RecalcTrigger,YieldCurve))</f>
        <v>#NAME?</v>
      </c>
      <c r="Q22" s="122" t="e">
        <f t="shared" ca="1" si="6"/>
        <v>#NAME?</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f ca="1"/>
        <v>#N/A</v>
      </c>
      <c r="AB22" s="151"/>
    </row>
    <row r="23" spans="13:28" x14ac:dyDescent="0.2">
      <c r="M23" s="113">
        <f ca="1"/>
        <v>0</v>
      </c>
      <c r="N23" s="113" t="e">
        <f ca="1">_xll.qlRateHelperQuoteName(M23)</f>
        <v>#NAME?</v>
      </c>
      <c r="O23" s="112" t="e">
        <f ca="1">_xll.qlRateHelperLatestDate(M23,Trigger)</f>
        <v>#NUM!</v>
      </c>
      <c r="P23" s="118" t="e">
        <f ca="1">_xll.qlRateHelperQuoteValue(M23,_xll.ohTrigger(RecalcTrigger,YieldCurve))</f>
        <v>#NAME?</v>
      </c>
      <c r="Q23" s="122" t="e">
        <f t="shared" ca="1" si="6"/>
        <v>#NAME?</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f ca="1"/>
        <v>#N/A</v>
      </c>
      <c r="AB23" s="151"/>
    </row>
    <row r="24" spans="13:28" x14ac:dyDescent="0.2">
      <c r="M24" s="113">
        <f ca="1"/>
        <v>0</v>
      </c>
      <c r="N24" s="113" t="e">
        <f ca="1">_xll.qlRateHelperQuoteName(M24)</f>
        <v>#NAME?</v>
      </c>
      <c r="O24" s="112" t="e">
        <f ca="1">_xll.qlRateHelperLatestDate(M24,Trigger)</f>
        <v>#NUM!</v>
      </c>
      <c r="P24" s="118" t="e">
        <f ca="1">_xll.qlRateHelperQuoteValue(M24,_xll.ohTrigger(RecalcTrigger,YieldCurve))</f>
        <v>#NAME?</v>
      </c>
      <c r="Q24" s="122" t="e">
        <f t="shared" ca="1" si="6"/>
        <v>#NAME?</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f ca="1"/>
        <v>#N/A</v>
      </c>
      <c r="AB24" s="151"/>
    </row>
    <row r="25" spans="13:28" x14ac:dyDescent="0.2">
      <c r="M25" s="113">
        <f ca="1"/>
        <v>0</v>
      </c>
      <c r="N25" s="113" t="e">
        <f ca="1">_xll.qlRateHelperQuoteName(M25)</f>
        <v>#NAME?</v>
      </c>
      <c r="O25" s="112" t="e">
        <f ca="1">_xll.qlRateHelperLatestDate(M25,Trigger)</f>
        <v>#NUM!</v>
      </c>
      <c r="P25" s="118" t="e">
        <f ca="1">_xll.qlRateHelperQuoteValue(M25,_xll.ohTrigger(RecalcTrigger,YieldCurve))</f>
        <v>#NAME?</v>
      </c>
      <c r="Q25" s="122" t="e">
        <f t="shared" ca="1" si="6"/>
        <v>#NAME?</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f ca="1"/>
        <v>#N/A</v>
      </c>
      <c r="AB25" s="151"/>
    </row>
    <row r="26" spans="13:28" x14ac:dyDescent="0.2">
      <c r="M26" s="113">
        <f ca="1"/>
        <v>0</v>
      </c>
      <c r="N26" s="113" t="e">
        <f ca="1">_xll.qlRateHelperQuoteName(M26)</f>
        <v>#NAME?</v>
      </c>
      <c r="O26" s="112" t="e">
        <f ca="1">_xll.qlRateHelperLatestDate(M26,Trigger)</f>
        <v>#NUM!</v>
      </c>
      <c r="P26" s="118" t="e">
        <f ca="1">_xll.qlRateHelperQuoteValue(M26,_xll.ohTrigger(RecalcTrigger,YieldCurve))</f>
        <v>#NAME?</v>
      </c>
      <c r="Q26" s="122" t="e">
        <f t="shared" ca="1" si="6"/>
        <v>#NAME?</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f ca="1"/>
        <v>#N/A</v>
      </c>
      <c r="AB26" s="151"/>
    </row>
    <row r="27" spans="13:28" x14ac:dyDescent="0.2">
      <c r="M27" s="113">
        <f ca="1"/>
        <v>0</v>
      </c>
      <c r="N27" s="113" t="e">
        <f ca="1">_xll.qlRateHelperQuoteName(M27)</f>
        <v>#NAME?</v>
      </c>
      <c r="O27" s="112" t="e">
        <f ca="1">_xll.qlRateHelperLatestDate(M27,Trigger)</f>
        <v>#NUM!</v>
      </c>
      <c r="P27" s="118" t="e">
        <f ca="1">_xll.qlRateHelperQuoteValue(M27,_xll.ohTrigger(RecalcTrigger,YieldCurve))</f>
        <v>#NAME?</v>
      </c>
      <c r="Q27" s="122" t="e">
        <f t="shared" ca="1" si="6"/>
        <v>#NAME?</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f ca="1"/>
        <v>#N/A</v>
      </c>
      <c r="AB27" s="151"/>
    </row>
    <row r="28" spans="13:28" x14ac:dyDescent="0.2">
      <c r="M28" s="113">
        <f ca="1"/>
        <v>0</v>
      </c>
      <c r="N28" s="113" t="e">
        <f ca="1">_xll.qlRateHelperQuoteName(M28)</f>
        <v>#NAME?</v>
      </c>
      <c r="O28" s="112" t="e">
        <f ca="1">_xll.qlRateHelperLatestDate(M28,Trigger)</f>
        <v>#NUM!</v>
      </c>
      <c r="P28" s="118" t="e">
        <f ca="1">_xll.qlRateHelperQuoteValue(M28,_xll.ohTrigger(RecalcTrigger,YieldCurve))</f>
        <v>#NAME?</v>
      </c>
      <c r="Q28" s="122" t="e">
        <f t="shared" ca="1" si="6"/>
        <v>#NAME?</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f ca="1"/>
        <v>#N/A</v>
      </c>
      <c r="AB28" s="151"/>
    </row>
    <row r="29" spans="13:28" x14ac:dyDescent="0.2">
      <c r="M29" s="113">
        <f ca="1"/>
        <v>0</v>
      </c>
      <c r="N29" s="113" t="e">
        <f ca="1">_xll.qlRateHelperQuoteName(M29)</f>
        <v>#NAME?</v>
      </c>
      <c r="O29" s="112" t="e">
        <f ca="1">_xll.qlRateHelperLatestDate(M29,Trigger)</f>
        <v>#NUM!</v>
      </c>
      <c r="P29" s="118" t="e">
        <f ca="1">_xll.qlRateHelperQuoteValue(M29,_xll.ohTrigger(RecalcTrigger,YieldCurve))</f>
        <v>#NAME?</v>
      </c>
      <c r="Q29" s="122" t="e">
        <f t="shared" ca="1" si="6"/>
        <v>#NAME?</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f ca="1"/>
        <v>#N/A</v>
      </c>
      <c r="AB29" s="151"/>
    </row>
    <row r="30" spans="13:28" x14ac:dyDescent="0.2">
      <c r="M30" s="113">
        <f ca="1"/>
        <v>0</v>
      </c>
      <c r="N30" s="113" t="e">
        <f ca="1">_xll.qlRateHelperQuoteName(M30)</f>
        <v>#NAME?</v>
      </c>
      <c r="O30" s="112" t="e">
        <f ca="1">_xll.qlRateHelperLatestDate(M30,Trigger)</f>
        <v>#NUM!</v>
      </c>
      <c r="P30" s="118" t="e">
        <f ca="1">_xll.qlRateHelperQuoteValue(M30,_xll.ohTrigger(RecalcTrigger,YieldCurve))</f>
        <v>#NAME?</v>
      </c>
      <c r="Q30" s="122" t="e">
        <f t="shared" ca="1" si="6"/>
        <v>#NAME?</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f ca="1"/>
        <v>#N/A</v>
      </c>
      <c r="AB30" s="151"/>
    </row>
    <row r="31" spans="13:28" x14ac:dyDescent="0.2">
      <c r="M31" s="113">
        <f ca="1"/>
        <v>0</v>
      </c>
      <c r="N31" s="113" t="e">
        <f ca="1">_xll.qlRateHelperQuoteName(M31)</f>
        <v>#NAME?</v>
      </c>
      <c r="O31" s="112" t="e">
        <f ca="1">_xll.qlRateHelperLatestDate(M31,Trigger)</f>
        <v>#NUM!</v>
      </c>
      <c r="P31" s="118" t="e">
        <f ca="1">_xll.qlRateHelperQuoteValue(M31,_xll.ohTrigger(RecalcTrigger,YieldCurve))</f>
        <v>#NAME?</v>
      </c>
      <c r="Q31" s="122" t="e">
        <f t="shared" ca="1" si="6"/>
        <v>#NAME?</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f ca="1"/>
        <v>#N/A</v>
      </c>
      <c r="AB31" s="151"/>
    </row>
    <row r="32" spans="13:28" x14ac:dyDescent="0.2">
      <c r="M32" s="113">
        <f ca="1"/>
        <v>0</v>
      </c>
      <c r="N32" s="113" t="e">
        <f ca="1">_xll.qlRateHelperQuoteName(M32)</f>
        <v>#NAME?</v>
      </c>
      <c r="O32" s="112" t="e">
        <f ca="1">_xll.qlRateHelperLatestDate(M32,Trigger)</f>
        <v>#NUM!</v>
      </c>
      <c r="P32" s="118" t="e">
        <f ca="1">_xll.qlRateHelperQuoteValue(M32,_xll.ohTrigger(RecalcTrigger,YieldCurve))</f>
        <v>#NAME?</v>
      </c>
      <c r="Q32" s="122" t="e">
        <f t="shared" ca="1" si="6"/>
        <v>#NAME?</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f ca="1"/>
        <v>#N/A</v>
      </c>
      <c r="AB32" s="151"/>
    </row>
    <row r="33" spans="13:28" x14ac:dyDescent="0.2">
      <c r="M33" s="113">
        <f ca="1"/>
        <v>0</v>
      </c>
      <c r="N33" s="113" t="e">
        <f ca="1">_xll.qlRateHelperQuoteName(M33)</f>
        <v>#NAME?</v>
      </c>
      <c r="O33" s="112" t="e">
        <f ca="1">_xll.qlRateHelperLatestDate(M33,Trigger)</f>
        <v>#NUM!</v>
      </c>
      <c r="P33" s="118" t="e">
        <f ca="1">_xll.qlRateHelperQuoteValue(M33,_xll.ohTrigger(RecalcTrigger,YieldCurve))</f>
        <v>#NAME?</v>
      </c>
      <c r="Q33" s="122" t="e">
        <f t="shared" ca="1" si="6"/>
        <v>#NAME?</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f ca="1"/>
        <v>#N/A</v>
      </c>
      <c r="AB33" s="151"/>
    </row>
    <row r="34" spans="13:28" x14ac:dyDescent="0.2">
      <c r="M34" s="113">
        <f ca="1"/>
        <v>0</v>
      </c>
      <c r="N34" s="113" t="e">
        <f ca="1">_xll.qlRateHelperQuoteName(M34)</f>
        <v>#NAME?</v>
      </c>
      <c r="O34" s="112" t="e">
        <f ca="1">_xll.qlRateHelperLatestDate(M34,Trigger)</f>
        <v>#NUM!</v>
      </c>
      <c r="P34" s="118" t="e">
        <f ca="1">_xll.qlRateHelperQuoteValue(M34,_xll.ohTrigger(RecalcTrigger,YieldCurve))</f>
        <v>#NAME?</v>
      </c>
      <c r="Q34" s="122" t="e">
        <f t="shared" ca="1" si="6"/>
        <v>#NAME?</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f ca="1"/>
        <v>#N/A</v>
      </c>
      <c r="AB34" s="151"/>
    </row>
    <row r="35" spans="13:28" x14ac:dyDescent="0.2">
      <c r="M35" s="113">
        <f ca="1"/>
        <v>0</v>
      </c>
      <c r="N35" s="113" t="e">
        <f ca="1">_xll.qlRateHelperQuoteName(M35)</f>
        <v>#NAME?</v>
      </c>
      <c r="O35" s="112" t="e">
        <f ca="1">_xll.qlRateHelperLatestDate(M35,Trigger)</f>
        <v>#NUM!</v>
      </c>
      <c r="P35" s="118" t="e">
        <f ca="1">_xll.qlRateHelperQuoteValue(M35,_xll.ohTrigger(RecalcTrigger,YieldCurve))</f>
        <v>#NAME?</v>
      </c>
      <c r="Q35" s="122" t="e">
        <f t="shared" ca="1" si="6"/>
        <v>#NAME?</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f ca="1"/>
        <v>#N/A</v>
      </c>
      <c r="AB35" s="151"/>
    </row>
    <row r="36" spans="13:28" x14ac:dyDescent="0.2">
      <c r="M36" s="113">
        <f ca="1"/>
        <v>0</v>
      </c>
      <c r="N36" s="113" t="e">
        <f ca="1">_xll.qlRateHelperQuoteName(M36)</f>
        <v>#NAME?</v>
      </c>
      <c r="O36" s="112" t="e">
        <f ca="1">_xll.qlRateHelperLatestDate(M36,Trigger)</f>
        <v>#NUM!</v>
      </c>
      <c r="P36" s="118" t="e">
        <f ca="1">_xll.qlRateHelperQuoteValue(M36,_xll.ohTrigger(RecalcTrigger,YieldCurve))</f>
        <v>#NAME?</v>
      </c>
      <c r="Q36" s="122" t="e">
        <f t="shared" ca="1" si="6"/>
        <v>#NAME?</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f ca="1"/>
        <v>#N/A</v>
      </c>
      <c r="AB36" s="151"/>
    </row>
    <row r="37" spans="13:28" x14ac:dyDescent="0.2">
      <c r="M37" s="113">
        <f ca="1"/>
        <v>0</v>
      </c>
      <c r="N37" s="113" t="e">
        <f ca="1">_xll.qlRateHelperQuoteName(M37)</f>
        <v>#NAME?</v>
      </c>
      <c r="O37" s="112" t="e">
        <f ca="1">_xll.qlRateHelperLatestDate(M37,Trigger)</f>
        <v>#NUM!</v>
      </c>
      <c r="P37" s="118" t="e">
        <f ca="1">_xll.qlRateHelperQuoteValue(M37,_xll.ohTrigger(RecalcTrigger,YieldCurve))</f>
        <v>#NAME?</v>
      </c>
      <c r="Q37" s="122" t="e">
        <f t="shared" ca="1" si="6"/>
        <v>#NAME?</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f ca="1"/>
        <v>#N/A</v>
      </c>
      <c r="AB37" s="151"/>
    </row>
    <row r="38" spans="13:28" x14ac:dyDescent="0.2">
      <c r="M38" s="113">
        <f ca="1"/>
        <v>0</v>
      </c>
      <c r="N38" s="113" t="e">
        <f ca="1">_xll.qlRateHelperQuoteName(M38)</f>
        <v>#NAME?</v>
      </c>
      <c r="O38" s="112" t="e">
        <f ca="1">_xll.qlRateHelperLatestDate(M38,Trigger)</f>
        <v>#NUM!</v>
      </c>
      <c r="P38" s="118" t="e">
        <f ca="1">_xll.qlRateHelperQuoteValue(M38,_xll.ohTrigger(RecalcTrigger,YieldCurve))</f>
        <v>#NAME?</v>
      </c>
      <c r="Q38" s="122" t="e">
        <f t="shared" ca="1" si="6"/>
        <v>#NAME?</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f ca="1"/>
        <v>#N/A</v>
      </c>
      <c r="AB38" s="151"/>
    </row>
    <row r="39" spans="13:28" x14ac:dyDescent="0.2">
      <c r="M39" s="113">
        <f ca="1"/>
        <v>0</v>
      </c>
      <c r="N39" s="113" t="e">
        <f ca="1">_xll.qlRateHelperQuoteName(M39)</f>
        <v>#NAME?</v>
      </c>
      <c r="O39" s="112" t="e">
        <f ca="1">_xll.qlRateHelperLatestDate(M39,Trigger)</f>
        <v>#NUM!</v>
      </c>
      <c r="P39" s="118" t="e">
        <f ca="1">_xll.qlRateHelperQuoteValue(M39,_xll.ohTrigger(RecalcTrigger,YieldCurve))</f>
        <v>#NAME?</v>
      </c>
      <c r="Q39" s="122" t="e">
        <f t="shared" ca="1" si="6"/>
        <v>#NAME?</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f ca="1"/>
        <v>#N/A</v>
      </c>
      <c r="AB39" s="151"/>
    </row>
    <row r="40" spans="13:28" x14ac:dyDescent="0.2">
      <c r="M40" s="113">
        <f ca="1"/>
        <v>0</v>
      </c>
      <c r="N40" s="113" t="e">
        <f ca="1">_xll.qlRateHelperQuoteName(M40)</f>
        <v>#NAME?</v>
      </c>
      <c r="O40" s="112" t="e">
        <f ca="1">_xll.qlRateHelperLatestDate(M40,Trigger)</f>
        <v>#NUM!</v>
      </c>
      <c r="P40" s="118" t="e">
        <f ca="1">_xll.qlRateHelperQuoteValue(M40,_xll.ohTrigger(RecalcTrigger,YieldCurve))</f>
        <v>#NAME?</v>
      </c>
      <c r="Q40" s="122" t="e">
        <f t="shared" ca="1" si="6"/>
        <v>#NAME?</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f ca="1"/>
        <v>#N/A</v>
      </c>
      <c r="AB40" s="151"/>
    </row>
    <row r="41" spans="13:28" x14ac:dyDescent="0.2">
      <c r="M41" s="113">
        <f ca="1"/>
        <v>0</v>
      </c>
      <c r="N41" s="113" t="e">
        <f ca="1">_xll.qlRateHelperQuoteName(M41)</f>
        <v>#NAME?</v>
      </c>
      <c r="O41" s="112" t="e">
        <f ca="1">_xll.qlRateHelperLatestDate(M41,Trigger)</f>
        <v>#NUM!</v>
      </c>
      <c r="P41" s="118" t="e">
        <f ca="1">_xll.qlRateHelperQuoteValue(M41,_xll.ohTrigger(RecalcTrigger,YieldCurve))</f>
        <v>#NAME?</v>
      </c>
      <c r="Q41" s="122" t="e">
        <f t="shared" ca="1" si="6"/>
        <v>#NAME?</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f ca="1"/>
        <v>#N/A</v>
      </c>
      <c r="AB41" s="151"/>
    </row>
    <row r="42" spans="13:28" x14ac:dyDescent="0.2">
      <c r="M42" s="113">
        <f ca="1"/>
        <v>0</v>
      </c>
      <c r="N42" s="113" t="e">
        <f ca="1">_xll.qlRateHelperQuoteName(M42)</f>
        <v>#NAME?</v>
      </c>
      <c r="O42" s="112" t="e">
        <f ca="1">_xll.qlRateHelperLatestDate(M42,Trigger)</f>
        <v>#NUM!</v>
      </c>
      <c r="P42" s="118" t="e">
        <f ca="1">_xll.qlRateHelperQuoteValue(M42,_xll.ohTrigger(RecalcTrigger,YieldCurve))</f>
        <v>#NAME?</v>
      </c>
      <c r="Q42" s="122" t="e">
        <f t="shared" ca="1" si="6"/>
        <v>#NAME?</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f ca="1"/>
        <v>#N/A</v>
      </c>
      <c r="AB42" s="151"/>
    </row>
    <row r="43" spans="13:28" x14ac:dyDescent="0.2">
      <c r="M43" s="113">
        <f ca="1"/>
        <v>0</v>
      </c>
      <c r="N43" s="113" t="e">
        <f ca="1">_xll.qlRateHelperQuoteName(M43)</f>
        <v>#NAME?</v>
      </c>
      <c r="O43" s="112" t="e">
        <f ca="1">_xll.qlRateHelperLatestDate(M43,Trigger)</f>
        <v>#NUM!</v>
      </c>
      <c r="P43" s="118" t="e">
        <f ca="1">_xll.qlRateHelperQuoteValue(M43,_xll.ohTrigger(RecalcTrigger,YieldCurve))</f>
        <v>#NAME?</v>
      </c>
      <c r="Q43" s="122" t="e">
        <f t="shared" ca="1" si="6"/>
        <v>#NAME?</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f ca="1"/>
        <v>#N/A</v>
      </c>
      <c r="AB43" s="151"/>
    </row>
    <row r="44" spans="13:28" x14ac:dyDescent="0.2">
      <c r="M44" s="113">
        <f ca="1"/>
        <v>0</v>
      </c>
      <c r="N44" s="113" t="e">
        <f ca="1">_xll.qlRateHelperQuoteName(M44)</f>
        <v>#NAME?</v>
      </c>
      <c r="O44" s="112" t="e">
        <f ca="1">_xll.qlRateHelperLatestDate(M44,Trigger)</f>
        <v>#NUM!</v>
      </c>
      <c r="P44" s="118" t="e">
        <f ca="1">_xll.qlRateHelperQuoteValue(M44,_xll.ohTrigger(RecalcTrigger,YieldCurve))</f>
        <v>#NAME?</v>
      </c>
      <c r="Q44" s="122" t="e">
        <f t="shared" ca="1" si="6"/>
        <v>#NAME?</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f ca="1"/>
        <v>#N/A</v>
      </c>
      <c r="AB44" s="151"/>
    </row>
    <row r="45" spans="13:28" x14ac:dyDescent="0.2">
      <c r="M45" s="113">
        <f ca="1"/>
        <v>0</v>
      </c>
      <c r="N45" s="113" t="e">
        <f ca="1">_xll.qlRateHelperQuoteName(M45)</f>
        <v>#NAME?</v>
      </c>
      <c r="O45" s="112" t="e">
        <f ca="1">_xll.qlRateHelperLatestDate(M45,Trigger)</f>
        <v>#NUM!</v>
      </c>
      <c r="P45" s="118" t="e">
        <f ca="1">_xll.qlRateHelperQuoteValue(M45,_xll.ohTrigger(RecalcTrigger,YieldCurve))</f>
        <v>#NAME?</v>
      </c>
      <c r="Q45" s="122" t="e">
        <f t="shared" ca="1" si="6"/>
        <v>#NAME?</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f ca="1"/>
        <v>#N/A</v>
      </c>
      <c r="AB45" s="151"/>
    </row>
    <row r="46" spans="13:28" ht="12" thickBot="1" x14ac:dyDescent="0.25">
      <c r="M46" s="125">
        <f ca="1"/>
        <v>0</v>
      </c>
      <c r="N46" s="113" t="e">
        <f ca="1">_xll.qlRateHelperQuoteName(M46)</f>
        <v>#NAME?</v>
      </c>
      <c r="O46" s="112" t="e">
        <f ca="1">_xll.qlRateHelperLatestDate(M46,Trigger)</f>
        <v>#NUM!</v>
      </c>
      <c r="P46" s="118" t="e">
        <f ca="1">_xll.qlRateHelperQuoteValue(M46,_xll.ohTrigger(RecalcTrigger,YieldCurve))</f>
        <v>#NAME?</v>
      </c>
      <c r="Q46" s="122" t="e">
        <f t="shared" ca="1" si="6"/>
        <v>#NAME?</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f ca="1"/>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f ca="1"/>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f ca="1"/>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f ca="1"/>
        <v>#N/A</v>
      </c>
      <c r="AB49" s="151"/>
    </row>
    <row r="50" spans="15:28" x14ac:dyDescent="0.2">
      <c r="V50" s="123"/>
      <c r="W50" s="152"/>
      <c r="X50" s="119" t="str">
        <f t="shared" si="8"/>
        <v>1D</v>
      </c>
      <c r="Y50" s="112" t="e">
        <f>_xll.qlCalendarAdvance(Calendar,Y49,X50,"f",FALSE)</f>
        <v>#VALUE!</v>
      </c>
      <c r="Z50" s="114" t="e">
        <f>_xll.qlCalendarAdvance(Calendar,Y50,0&amp;"D")</f>
        <v>#VALUE!</v>
      </c>
      <c r="AA50" s="115" t="e">
        <f ca="1"/>
        <v>#N/A</v>
      </c>
      <c r="AB50" s="151"/>
    </row>
    <row r="51" spans="15:28" x14ac:dyDescent="0.2">
      <c r="V51" s="123"/>
      <c r="W51" s="152"/>
      <c r="X51" s="119" t="str">
        <f t="shared" si="8"/>
        <v>1D</v>
      </c>
      <c r="Y51" s="112" t="e">
        <f>_xll.qlCalendarAdvance(Calendar,Y50,X51,"f",FALSE)</f>
        <v>#VALUE!</v>
      </c>
      <c r="Z51" s="114" t="e">
        <f>_xll.qlCalendarAdvance(Calendar,Y51,0&amp;"D")</f>
        <v>#VALUE!</v>
      </c>
      <c r="AA51" s="115" t="e">
        <f ca="1"/>
        <v>#N/A</v>
      </c>
      <c r="AB51" s="151"/>
    </row>
    <row r="52" spans="15:28" x14ac:dyDescent="0.2">
      <c r="V52" s="123"/>
      <c r="W52" s="152"/>
      <c r="X52" s="119" t="str">
        <f t="shared" si="8"/>
        <v>1D</v>
      </c>
      <c r="Y52" s="112" t="e">
        <f>_xll.qlCalendarAdvance(Calendar,Y51,X52,"f",FALSE)</f>
        <v>#VALUE!</v>
      </c>
      <c r="Z52" s="114" t="e">
        <f>_xll.qlCalendarAdvance(Calendar,Y52,0&amp;"D")</f>
        <v>#VALUE!</v>
      </c>
      <c r="AA52" s="115" t="e">
        <f ca="1"/>
        <v>#N/A</v>
      </c>
      <c r="AB52" s="151"/>
    </row>
    <row r="53" spans="15:28" x14ac:dyDescent="0.2">
      <c r="V53" s="123"/>
      <c r="W53" s="152"/>
      <c r="X53" s="119" t="str">
        <f t="shared" si="8"/>
        <v>1D</v>
      </c>
      <c r="Y53" s="112" t="e">
        <f>_xll.qlCalendarAdvance(Calendar,Y52,X53,"f",FALSE)</f>
        <v>#VALUE!</v>
      </c>
      <c r="Z53" s="114" t="e">
        <f>_xll.qlCalendarAdvance(Calendar,Y53,0&amp;"D")</f>
        <v>#VALUE!</v>
      </c>
      <c r="AA53" s="115" t="e">
        <f ca="1"/>
        <v>#N/A</v>
      </c>
      <c r="AB53" s="151"/>
    </row>
    <row r="54" spans="15:28" x14ac:dyDescent="0.2">
      <c r="V54" s="123"/>
      <c r="W54" s="152"/>
      <c r="X54" s="119" t="str">
        <f t="shared" si="8"/>
        <v>1D</v>
      </c>
      <c r="Y54" s="112" t="e">
        <f>_xll.qlCalendarAdvance(Calendar,Y53,X54,"f",FALSE)</f>
        <v>#VALUE!</v>
      </c>
      <c r="Z54" s="114" t="e">
        <f>_xll.qlCalendarAdvance(Calendar,Y54,0&amp;"D")</f>
        <v>#VALUE!</v>
      </c>
      <c r="AA54" s="115" t="e">
        <f ca="1"/>
        <v>#N/A</v>
      </c>
      <c r="AB54" s="151"/>
    </row>
    <row r="55" spans="15:28" x14ac:dyDescent="0.2">
      <c r="V55" s="123"/>
      <c r="W55" s="152"/>
      <c r="X55" s="119" t="str">
        <f t="shared" si="8"/>
        <v>1D</v>
      </c>
      <c r="Y55" s="112" t="e">
        <f>_xll.qlCalendarAdvance(Calendar,Y54,X55,"f",FALSE)</f>
        <v>#VALUE!</v>
      </c>
      <c r="Z55" s="114" t="e">
        <f>_xll.qlCalendarAdvance(Calendar,Y55,0&amp;"D")</f>
        <v>#VALUE!</v>
      </c>
      <c r="AA55" s="115" t="e">
        <f ca="1"/>
        <v>#N/A</v>
      </c>
      <c r="AB55" s="151"/>
    </row>
    <row r="56" spans="15:28" x14ac:dyDescent="0.2">
      <c r="V56" s="123"/>
      <c r="W56" s="152"/>
      <c r="X56" s="119" t="str">
        <f t="shared" si="8"/>
        <v>1D</v>
      </c>
      <c r="Y56" s="112" t="e">
        <f>_xll.qlCalendarAdvance(Calendar,Y55,X56,"f",FALSE)</f>
        <v>#VALUE!</v>
      </c>
      <c r="Z56" s="114" t="e">
        <f>_xll.qlCalendarAdvance(Calendar,Y56,0&amp;"D")</f>
        <v>#VALUE!</v>
      </c>
      <c r="AA56" s="115" t="e">
        <f ca="1"/>
        <v>#N/A</v>
      </c>
      <c r="AB56" s="151"/>
    </row>
    <row r="57" spans="15:28" x14ac:dyDescent="0.2">
      <c r="V57" s="123"/>
      <c r="W57" s="152"/>
      <c r="X57" s="119" t="str">
        <f t="shared" si="8"/>
        <v>1D</v>
      </c>
      <c r="Y57" s="112" t="e">
        <f>_xll.qlCalendarAdvance(Calendar,Y56,X57,"f",FALSE)</f>
        <v>#VALUE!</v>
      </c>
      <c r="Z57" s="114" t="e">
        <f>_xll.qlCalendarAdvance(Calendar,Y57,0&amp;"D")</f>
        <v>#VALUE!</v>
      </c>
      <c r="AA57" s="115" t="e">
        <f ca="1"/>
        <v>#N/A</v>
      </c>
      <c r="AB57" s="151"/>
    </row>
    <row r="58" spans="15:28" x14ac:dyDescent="0.2">
      <c r="V58" s="123"/>
      <c r="W58" s="152"/>
      <c r="X58" s="119" t="str">
        <f t="shared" si="8"/>
        <v>1D</v>
      </c>
      <c r="Y58" s="112" t="e">
        <f>_xll.qlCalendarAdvance(Calendar,Y57,X58,"f",FALSE)</f>
        <v>#VALUE!</v>
      </c>
      <c r="Z58" s="114" t="e">
        <f>_xll.qlCalendarAdvance(Calendar,Y58,0&amp;"D")</f>
        <v>#VALUE!</v>
      </c>
      <c r="AA58" s="115" t="e">
        <f ca="1"/>
        <v>#N/A</v>
      </c>
      <c r="AB58" s="151"/>
    </row>
    <row r="59" spans="15:28" x14ac:dyDescent="0.2">
      <c r="V59" s="123"/>
      <c r="W59" s="152"/>
      <c r="X59" s="119" t="str">
        <f t="shared" si="8"/>
        <v>1D</v>
      </c>
      <c r="Y59" s="112" t="e">
        <f>_xll.qlCalendarAdvance(Calendar,Y58,X59,"f",FALSE)</f>
        <v>#VALUE!</v>
      </c>
      <c r="Z59" s="114" t="e">
        <f>_xll.qlCalendarAdvance(Calendar,Y59,0&amp;"D")</f>
        <v>#VALUE!</v>
      </c>
      <c r="AA59" s="115" t="e">
        <f ca="1"/>
        <v>#N/A</v>
      </c>
      <c r="AB59" s="151"/>
    </row>
    <row r="60" spans="15:28" x14ac:dyDescent="0.2">
      <c r="V60" s="123"/>
      <c r="W60" s="152"/>
      <c r="X60" s="119" t="str">
        <f t="shared" si="8"/>
        <v>1D</v>
      </c>
      <c r="Y60" s="112" t="e">
        <f>_xll.qlCalendarAdvance(Calendar,Y59,X60,"f",FALSE)</f>
        <v>#VALUE!</v>
      </c>
      <c r="Z60" s="114" t="e">
        <f>_xll.qlCalendarAdvance(Calendar,Y60,0&amp;"D")</f>
        <v>#VALUE!</v>
      </c>
      <c r="AA60" s="115" t="e">
        <f ca="1"/>
        <v>#N/A</v>
      </c>
      <c r="AB60" s="151"/>
    </row>
    <row r="61" spans="15:28" x14ac:dyDescent="0.2">
      <c r="V61" s="123"/>
      <c r="W61" s="152"/>
      <c r="X61" s="119" t="str">
        <f t="shared" si="8"/>
        <v>1D</v>
      </c>
      <c r="Y61" s="112" t="e">
        <f>_xll.qlCalendarAdvance(Calendar,Y60,X61,"f",FALSE)</f>
        <v>#VALUE!</v>
      </c>
      <c r="Z61" s="114" t="e">
        <f>_xll.qlCalendarAdvance(Calendar,Y61,0&amp;"D")</f>
        <v>#VALUE!</v>
      </c>
      <c r="AA61" s="115" t="e">
        <f ca="1"/>
        <v>#N/A</v>
      </c>
      <c r="AB61" s="151"/>
    </row>
    <row r="62" spans="15:28" x14ac:dyDescent="0.2">
      <c r="V62" s="123"/>
      <c r="W62" s="152"/>
      <c r="X62" s="119" t="str">
        <f t="shared" si="8"/>
        <v>1D</v>
      </c>
      <c r="Y62" s="112" t="e">
        <f>_xll.qlCalendarAdvance(Calendar,Y61,X62,"f",FALSE)</f>
        <v>#VALUE!</v>
      </c>
      <c r="Z62" s="114" t="e">
        <f>_xll.qlCalendarAdvance(Calendar,Y62,0&amp;"D")</f>
        <v>#VALUE!</v>
      </c>
      <c r="AA62" s="115" t="e">
        <f ca="1"/>
        <v>#N/A</v>
      </c>
      <c r="AB62" s="151"/>
    </row>
    <row r="63" spans="15:28" x14ac:dyDescent="0.2">
      <c r="V63" s="123"/>
      <c r="W63" s="152"/>
      <c r="X63" s="119" t="str">
        <f t="shared" si="8"/>
        <v>1D</v>
      </c>
      <c r="Y63" s="112" t="e">
        <f>_xll.qlCalendarAdvance(Calendar,Y62,X63,"f",FALSE)</f>
        <v>#VALUE!</v>
      </c>
      <c r="Z63" s="114" t="e">
        <f>_xll.qlCalendarAdvance(Calendar,Y63,0&amp;"D")</f>
        <v>#VALUE!</v>
      </c>
      <c r="AA63" s="115" t="e">
        <f ca="1"/>
        <v>#N/A</v>
      </c>
      <c r="AB63" s="151"/>
    </row>
    <row r="64" spans="15:28" x14ac:dyDescent="0.2">
      <c r="V64" s="123"/>
      <c r="W64" s="152"/>
      <c r="X64" s="119" t="str">
        <f t="shared" si="8"/>
        <v>1D</v>
      </c>
      <c r="Y64" s="112" t="e">
        <f>_xll.qlCalendarAdvance(Calendar,Y63,X64,"f",FALSE)</f>
        <v>#VALUE!</v>
      </c>
      <c r="Z64" s="114" t="e">
        <f>_xll.qlCalendarAdvance(Calendar,Y64,0&amp;"D")</f>
        <v>#VALUE!</v>
      </c>
      <c r="AA64" s="115" t="e">
        <f ca="1"/>
        <v>#N/A</v>
      </c>
      <c r="AB64" s="151"/>
    </row>
    <row r="65" spans="22:28" x14ac:dyDescent="0.2">
      <c r="V65" s="123"/>
      <c r="W65" s="152"/>
      <c r="X65" s="119" t="str">
        <f t="shared" si="8"/>
        <v>1D</v>
      </c>
      <c r="Y65" s="112" t="e">
        <f>_xll.qlCalendarAdvance(Calendar,Y64,X65,"f",FALSE)</f>
        <v>#VALUE!</v>
      </c>
      <c r="Z65" s="114" t="e">
        <f>_xll.qlCalendarAdvance(Calendar,Y65,0&amp;"D")</f>
        <v>#VALUE!</v>
      </c>
      <c r="AA65" s="115" t="e">
        <f ca="1"/>
        <v>#N/A</v>
      </c>
      <c r="AB65" s="151"/>
    </row>
    <row r="66" spans="22:28" x14ac:dyDescent="0.2">
      <c r="V66" s="123"/>
      <c r="W66" s="152"/>
      <c r="X66" s="119" t="str">
        <f t="shared" si="8"/>
        <v>1D</v>
      </c>
      <c r="Y66" s="112" t="e">
        <f>_xll.qlCalendarAdvance(Calendar,Y65,X66,"f",FALSE)</f>
        <v>#VALUE!</v>
      </c>
      <c r="Z66" s="114" t="e">
        <f>_xll.qlCalendarAdvance(Calendar,Y66,0&amp;"D")</f>
        <v>#VALUE!</v>
      </c>
      <c r="AA66" s="115" t="e">
        <f ca="1"/>
        <v>#N/A</v>
      </c>
      <c r="AB66" s="151"/>
    </row>
    <row r="67" spans="22:28" x14ac:dyDescent="0.2">
      <c r="W67" s="152"/>
      <c r="X67" s="119" t="str">
        <f t="shared" si="8"/>
        <v>1D</v>
      </c>
      <c r="Y67" s="112" t="e">
        <f>_xll.qlCalendarAdvance(Calendar,Y66,X67,"f",FALSE)</f>
        <v>#VALUE!</v>
      </c>
      <c r="Z67" s="114" t="e">
        <f>_xll.qlCalendarAdvance(Calendar,Y67,0&amp;"D")</f>
        <v>#VALUE!</v>
      </c>
      <c r="AA67" s="115" t="e">
        <f ca="1"/>
        <v>#N/A</v>
      </c>
      <c r="AB67" s="151"/>
    </row>
    <row r="68" spans="22:28" x14ac:dyDescent="0.2">
      <c r="W68" s="152"/>
      <c r="X68" s="119" t="str">
        <f t="shared" si="8"/>
        <v>1D</v>
      </c>
      <c r="Y68" s="112" t="e">
        <f>_xll.qlCalendarAdvance(Calendar,Y67,X68,"f",FALSE)</f>
        <v>#VALUE!</v>
      </c>
      <c r="Z68" s="114" t="e">
        <f>_xll.qlCalendarAdvance(Calendar,Y68,0&amp;"D")</f>
        <v>#VALUE!</v>
      </c>
      <c r="AA68" s="115" t="e">
        <f ca="1"/>
        <v>#N/A</v>
      </c>
      <c r="AB68" s="151"/>
    </row>
    <row r="69" spans="22:28" x14ac:dyDescent="0.2">
      <c r="W69" s="152"/>
      <c r="X69" s="119" t="str">
        <f t="shared" si="8"/>
        <v>1D</v>
      </c>
      <c r="Y69" s="112" t="e">
        <f>_xll.qlCalendarAdvance(Calendar,Y68,X69,"f",FALSE)</f>
        <v>#VALUE!</v>
      </c>
      <c r="Z69" s="114" t="e">
        <f>_xll.qlCalendarAdvance(Calendar,Y69,0&amp;"D")</f>
        <v>#VALUE!</v>
      </c>
      <c r="AA69" s="115" t="e">
        <f ca="1"/>
        <v>#N/A</v>
      </c>
      <c r="AB69" s="151"/>
    </row>
    <row r="70" spans="22:28" x14ac:dyDescent="0.2">
      <c r="W70" s="152"/>
      <c r="X70" s="119" t="str">
        <f t="shared" si="8"/>
        <v>1D</v>
      </c>
      <c r="Y70" s="112" t="e">
        <f>_xll.qlCalendarAdvance(Calendar,Y69,X70,"f",FALSE)</f>
        <v>#VALUE!</v>
      </c>
      <c r="Z70" s="114" t="e">
        <f>_xll.qlCalendarAdvance(Calendar,Y70,0&amp;"D")</f>
        <v>#VALUE!</v>
      </c>
      <c r="AA70" s="115" t="e">
        <f ca="1"/>
        <v>#N/A</v>
      </c>
      <c r="AB70" s="151"/>
    </row>
    <row r="71" spans="22:28" x14ac:dyDescent="0.2">
      <c r="W71" s="152"/>
      <c r="X71" s="119" t="str">
        <f t="shared" si="8"/>
        <v>1D</v>
      </c>
      <c r="Y71" s="112" t="e">
        <f>_xll.qlCalendarAdvance(Calendar,Y70,X71,"f",FALSE)</f>
        <v>#VALUE!</v>
      </c>
      <c r="Z71" s="114" t="e">
        <f>_xll.qlCalendarAdvance(Calendar,Y71,0&amp;"D")</f>
        <v>#VALUE!</v>
      </c>
      <c r="AA71" s="115" t="e">
        <f ca="1"/>
        <v>#N/A</v>
      </c>
      <c r="AB71" s="151"/>
    </row>
    <row r="72" spans="22:28" x14ac:dyDescent="0.2">
      <c r="W72" s="152"/>
      <c r="X72" s="119" t="str">
        <f t="shared" si="8"/>
        <v>1D</v>
      </c>
      <c r="Y72" s="112" t="e">
        <f>_xll.qlCalendarAdvance(Calendar,Y71,X72,"f",FALSE)</f>
        <v>#VALUE!</v>
      </c>
      <c r="Z72" s="114" t="e">
        <f>_xll.qlCalendarAdvance(Calendar,Y72,0&amp;"D")</f>
        <v>#VALUE!</v>
      </c>
      <c r="AA72" s="115" t="e">
        <f ca="1"/>
        <v>#N/A</v>
      </c>
      <c r="AB72" s="151"/>
    </row>
    <row r="73" spans="22:28" x14ac:dyDescent="0.2">
      <c r="W73" s="152"/>
      <c r="X73" s="119" t="str">
        <f t="shared" si="8"/>
        <v>1D</v>
      </c>
      <c r="Y73" s="112" t="e">
        <f>_xll.qlCalendarAdvance(Calendar,Y72,X73,"f",FALSE)</f>
        <v>#VALUE!</v>
      </c>
      <c r="Z73" s="114" t="e">
        <f>_xll.qlCalendarAdvance(Calendar,Y73,0&amp;"D")</f>
        <v>#VALUE!</v>
      </c>
      <c r="AA73" s="115" t="e">
        <f ca="1"/>
        <v>#N/A</v>
      </c>
      <c r="AB73" s="151"/>
    </row>
    <row r="74" spans="22:28" x14ac:dyDescent="0.2">
      <c r="W74" s="152"/>
      <c r="X74" s="119" t="str">
        <f t="shared" si="8"/>
        <v>1D</v>
      </c>
      <c r="Y74" s="112" t="e">
        <f>_xll.qlCalendarAdvance(Calendar,Y73,X74,"f",FALSE)</f>
        <v>#VALUE!</v>
      </c>
      <c r="Z74" s="114" t="e">
        <f>_xll.qlCalendarAdvance(Calendar,Y74,0&amp;"D")</f>
        <v>#VALUE!</v>
      </c>
      <c r="AA74" s="115" t="e">
        <f ca="1"/>
        <v>#N/A</v>
      </c>
      <c r="AB74" s="151"/>
    </row>
    <row r="75" spans="22:28" x14ac:dyDescent="0.2">
      <c r="W75" s="152"/>
      <c r="X75" s="119" t="str">
        <f t="shared" si="8"/>
        <v>1D</v>
      </c>
      <c r="Y75" s="112" t="e">
        <f>_xll.qlCalendarAdvance(Calendar,Y74,X75,"f",FALSE)</f>
        <v>#VALUE!</v>
      </c>
      <c r="Z75" s="114" t="e">
        <f>_xll.qlCalendarAdvance(Calendar,Y75,0&amp;"D")</f>
        <v>#VALUE!</v>
      </c>
      <c r="AA75" s="115" t="e">
        <f ca="1"/>
        <v>#N/A</v>
      </c>
      <c r="AB75" s="151"/>
    </row>
    <row r="76" spans="22:28" x14ac:dyDescent="0.2">
      <c r="W76" s="152"/>
      <c r="X76" s="119" t="str">
        <f t="shared" si="8"/>
        <v>1D</v>
      </c>
      <c r="Y76" s="112" t="e">
        <f>_xll.qlCalendarAdvance(Calendar,Y75,X76,"f",FALSE)</f>
        <v>#VALUE!</v>
      </c>
      <c r="Z76" s="114" t="e">
        <f>_xll.qlCalendarAdvance(Calendar,Y76,0&amp;"D")</f>
        <v>#VALUE!</v>
      </c>
      <c r="AA76" s="115" t="e">
        <f ca="1"/>
        <v>#N/A</v>
      </c>
      <c r="AB76" s="151"/>
    </row>
    <row r="77" spans="22:28" x14ac:dyDescent="0.2">
      <c r="W77" s="152"/>
      <c r="X77" s="119" t="str">
        <f t="shared" ref="X77:X140" si="9">X76</f>
        <v>1D</v>
      </c>
      <c r="Y77" s="112" t="e">
        <f>_xll.qlCalendarAdvance(Calendar,Y76,X77,"f",FALSE)</f>
        <v>#VALUE!</v>
      </c>
      <c r="Z77" s="114" t="e">
        <f>_xll.qlCalendarAdvance(Calendar,Y77,0&amp;"D")</f>
        <v>#VALUE!</v>
      </c>
      <c r="AA77" s="115" t="e">
        <f ca="1"/>
        <v>#N/A</v>
      </c>
      <c r="AB77" s="151"/>
    </row>
    <row r="78" spans="22:28" x14ac:dyDescent="0.2">
      <c r="W78" s="152"/>
      <c r="X78" s="119" t="str">
        <f t="shared" si="9"/>
        <v>1D</v>
      </c>
      <c r="Y78" s="112" t="e">
        <f>_xll.qlCalendarAdvance(Calendar,Y77,X78,"f",FALSE)</f>
        <v>#VALUE!</v>
      </c>
      <c r="Z78" s="114" t="e">
        <f>_xll.qlCalendarAdvance(Calendar,Y78,0&amp;"D")</f>
        <v>#VALUE!</v>
      </c>
      <c r="AA78" s="115" t="e">
        <f ca="1"/>
        <v>#N/A</v>
      </c>
      <c r="AB78" s="151"/>
    </row>
    <row r="79" spans="22:28" x14ac:dyDescent="0.2">
      <c r="W79" s="152"/>
      <c r="X79" s="119" t="str">
        <f t="shared" si="9"/>
        <v>1D</v>
      </c>
      <c r="Y79" s="112" t="e">
        <f>_xll.qlCalendarAdvance(Calendar,Y78,X79,"f",FALSE)</f>
        <v>#VALUE!</v>
      </c>
      <c r="Z79" s="114" t="e">
        <f>_xll.qlCalendarAdvance(Calendar,Y79,0&amp;"D")</f>
        <v>#VALUE!</v>
      </c>
      <c r="AA79" s="115" t="e">
        <f ca="1"/>
        <v>#N/A</v>
      </c>
      <c r="AB79" s="151"/>
    </row>
    <row r="80" spans="22:28" x14ac:dyDescent="0.2">
      <c r="W80" s="152"/>
      <c r="X80" s="119" t="str">
        <f t="shared" si="9"/>
        <v>1D</v>
      </c>
      <c r="Y80" s="112" t="e">
        <f>_xll.qlCalendarAdvance(Calendar,Y79,X80,"f",FALSE)</f>
        <v>#VALUE!</v>
      </c>
      <c r="Z80" s="114" t="e">
        <f>_xll.qlCalendarAdvance(Calendar,Y80,0&amp;"D")</f>
        <v>#VALUE!</v>
      </c>
      <c r="AA80" s="115" t="e">
        <f ca="1"/>
        <v>#N/A</v>
      </c>
      <c r="AB80" s="151"/>
    </row>
    <row r="81" spans="23:28" x14ac:dyDescent="0.2">
      <c r="W81" s="152"/>
      <c r="X81" s="119" t="str">
        <f t="shared" si="9"/>
        <v>1D</v>
      </c>
      <c r="Y81" s="112" t="e">
        <f>_xll.qlCalendarAdvance(Calendar,Y80,X81,"f",FALSE)</f>
        <v>#VALUE!</v>
      </c>
      <c r="Z81" s="114" t="e">
        <f>_xll.qlCalendarAdvance(Calendar,Y81,0&amp;"D")</f>
        <v>#VALUE!</v>
      </c>
      <c r="AA81" s="115" t="e">
        <f ca="1"/>
        <v>#N/A</v>
      </c>
      <c r="AB81" s="151"/>
    </row>
    <row r="82" spans="23:28" x14ac:dyDescent="0.2">
      <c r="W82" s="152"/>
      <c r="X82" s="119" t="str">
        <f t="shared" si="9"/>
        <v>1D</v>
      </c>
      <c r="Y82" s="112" t="e">
        <f>_xll.qlCalendarAdvance(Calendar,Y81,X82,"f",FALSE)</f>
        <v>#VALUE!</v>
      </c>
      <c r="Z82" s="114" t="e">
        <f>_xll.qlCalendarAdvance(Calendar,Y82,0&amp;"D")</f>
        <v>#VALUE!</v>
      </c>
      <c r="AA82" s="115" t="e">
        <f ca="1"/>
        <v>#N/A</v>
      </c>
      <c r="AB82" s="151"/>
    </row>
    <row r="83" spans="23:28" x14ac:dyDescent="0.2">
      <c r="W83" s="152"/>
      <c r="X83" s="119" t="str">
        <f t="shared" si="9"/>
        <v>1D</v>
      </c>
      <c r="Y83" s="112" t="e">
        <f>_xll.qlCalendarAdvance(Calendar,Y82,X83,"f",FALSE)</f>
        <v>#VALUE!</v>
      </c>
      <c r="Z83" s="114" t="e">
        <f>_xll.qlCalendarAdvance(Calendar,Y83,0&amp;"D")</f>
        <v>#VALUE!</v>
      </c>
      <c r="AA83" s="115" t="e">
        <f ca="1"/>
        <v>#N/A</v>
      </c>
      <c r="AB83" s="151"/>
    </row>
    <row r="84" spans="23:28" x14ac:dyDescent="0.2">
      <c r="W84" s="152"/>
      <c r="X84" s="119" t="str">
        <f t="shared" si="9"/>
        <v>1D</v>
      </c>
      <c r="Y84" s="112" t="e">
        <f>_xll.qlCalendarAdvance(Calendar,Y83,X84,"f",FALSE)</f>
        <v>#VALUE!</v>
      </c>
      <c r="Z84" s="114" t="e">
        <f>_xll.qlCalendarAdvance(Calendar,Y84,0&amp;"D")</f>
        <v>#VALUE!</v>
      </c>
      <c r="AA84" s="115" t="e">
        <f ca="1"/>
        <v>#N/A</v>
      </c>
      <c r="AB84" s="151"/>
    </row>
    <row r="85" spans="23:28" x14ac:dyDescent="0.2">
      <c r="W85" s="152"/>
      <c r="X85" s="119" t="str">
        <f t="shared" si="9"/>
        <v>1D</v>
      </c>
      <c r="Y85" s="112" t="e">
        <f>_xll.qlCalendarAdvance(Calendar,Y84,X85,"f",FALSE)</f>
        <v>#VALUE!</v>
      </c>
      <c r="Z85" s="114" t="e">
        <f>_xll.qlCalendarAdvance(Calendar,Y85,0&amp;"D")</f>
        <v>#VALUE!</v>
      </c>
      <c r="AA85" s="115" t="e">
        <f ca="1"/>
        <v>#N/A</v>
      </c>
      <c r="AB85" s="151"/>
    </row>
    <row r="86" spans="23:28" x14ac:dyDescent="0.2">
      <c r="W86" s="152"/>
      <c r="X86" s="119" t="str">
        <f t="shared" si="9"/>
        <v>1D</v>
      </c>
      <c r="Y86" s="112" t="e">
        <f>_xll.qlCalendarAdvance(Calendar,Y85,X86,"f",FALSE)</f>
        <v>#VALUE!</v>
      </c>
      <c r="Z86" s="114" t="e">
        <f>_xll.qlCalendarAdvance(Calendar,Y86,0&amp;"D")</f>
        <v>#VALUE!</v>
      </c>
      <c r="AA86" s="115" t="e">
        <f ca="1"/>
        <v>#N/A</v>
      </c>
      <c r="AB86" s="151"/>
    </row>
    <row r="87" spans="23:28" x14ac:dyDescent="0.2">
      <c r="W87" s="152"/>
      <c r="X87" s="119" t="str">
        <f t="shared" si="9"/>
        <v>1D</v>
      </c>
      <c r="Y87" s="112" t="e">
        <f>_xll.qlCalendarAdvance(Calendar,Y86,X87,"f",FALSE)</f>
        <v>#VALUE!</v>
      </c>
      <c r="Z87" s="114" t="e">
        <f>_xll.qlCalendarAdvance(Calendar,Y87,0&amp;"D")</f>
        <v>#VALUE!</v>
      </c>
      <c r="AA87" s="115" t="e">
        <f ca="1"/>
        <v>#N/A</v>
      </c>
      <c r="AB87" s="151"/>
    </row>
    <row r="88" spans="23:28" x14ac:dyDescent="0.2">
      <c r="W88" s="152"/>
      <c r="X88" s="119" t="str">
        <f t="shared" si="9"/>
        <v>1D</v>
      </c>
      <c r="Y88" s="112" t="e">
        <f>_xll.qlCalendarAdvance(Calendar,Y87,X88,"f",FALSE)</f>
        <v>#VALUE!</v>
      </c>
      <c r="Z88" s="114" t="e">
        <f>_xll.qlCalendarAdvance(Calendar,Y88,0&amp;"D")</f>
        <v>#VALUE!</v>
      </c>
      <c r="AA88" s="115" t="e">
        <f ca="1"/>
        <v>#N/A</v>
      </c>
      <c r="AB88" s="151"/>
    </row>
    <row r="89" spans="23:28" x14ac:dyDescent="0.2">
      <c r="W89" s="152"/>
      <c r="X89" s="119" t="str">
        <f t="shared" si="9"/>
        <v>1D</v>
      </c>
      <c r="Y89" s="112" t="e">
        <f>_xll.qlCalendarAdvance(Calendar,Y88,X89,"f",FALSE)</f>
        <v>#VALUE!</v>
      </c>
      <c r="Z89" s="114" t="e">
        <f>_xll.qlCalendarAdvance(Calendar,Y89,0&amp;"D")</f>
        <v>#VALUE!</v>
      </c>
      <c r="AA89" s="115" t="e">
        <f ca="1"/>
        <v>#N/A</v>
      </c>
      <c r="AB89" s="151"/>
    </row>
    <row r="90" spans="23:28" x14ac:dyDescent="0.2">
      <c r="W90" s="152"/>
      <c r="X90" s="119" t="str">
        <f t="shared" si="9"/>
        <v>1D</v>
      </c>
      <c r="Y90" s="112" t="e">
        <f>_xll.qlCalendarAdvance(Calendar,Y89,X90,"f",FALSE)</f>
        <v>#VALUE!</v>
      </c>
      <c r="Z90" s="114" t="e">
        <f>_xll.qlCalendarAdvance(Calendar,Y90,0&amp;"D")</f>
        <v>#VALUE!</v>
      </c>
      <c r="AA90" s="115" t="e">
        <f ca="1"/>
        <v>#N/A</v>
      </c>
      <c r="AB90" s="151"/>
    </row>
    <row r="91" spans="23:28" x14ac:dyDescent="0.2">
      <c r="W91" s="152"/>
      <c r="X91" s="119" t="str">
        <f t="shared" si="9"/>
        <v>1D</v>
      </c>
      <c r="Y91" s="112" t="e">
        <f>_xll.qlCalendarAdvance(Calendar,Y90,X91,"f",FALSE)</f>
        <v>#VALUE!</v>
      </c>
      <c r="Z91" s="114" t="e">
        <f>_xll.qlCalendarAdvance(Calendar,Y91,0&amp;"D")</f>
        <v>#VALUE!</v>
      </c>
      <c r="AA91" s="115" t="e">
        <f ca="1"/>
        <v>#N/A</v>
      </c>
      <c r="AB91" s="151"/>
    </row>
    <row r="92" spans="23:28" x14ac:dyDescent="0.2">
      <c r="W92" s="152"/>
      <c r="X92" s="119" t="str">
        <f t="shared" si="9"/>
        <v>1D</v>
      </c>
      <c r="Y92" s="112" t="e">
        <f>_xll.qlCalendarAdvance(Calendar,Y91,X92,"f",FALSE)</f>
        <v>#VALUE!</v>
      </c>
      <c r="Z92" s="114" t="e">
        <f>_xll.qlCalendarAdvance(Calendar,Y92,0&amp;"D")</f>
        <v>#VALUE!</v>
      </c>
      <c r="AA92" s="115" t="e">
        <f ca="1"/>
        <v>#N/A</v>
      </c>
      <c r="AB92" s="151"/>
    </row>
    <row r="93" spans="23:28" x14ac:dyDescent="0.2">
      <c r="W93" s="152"/>
      <c r="X93" s="119" t="str">
        <f t="shared" si="9"/>
        <v>1D</v>
      </c>
      <c r="Y93" s="112" t="e">
        <f>_xll.qlCalendarAdvance(Calendar,Y92,X93,"f",FALSE)</f>
        <v>#VALUE!</v>
      </c>
      <c r="Z93" s="114" t="e">
        <f>_xll.qlCalendarAdvance(Calendar,Y93,0&amp;"D")</f>
        <v>#VALUE!</v>
      </c>
      <c r="AA93" s="115" t="e">
        <f ca="1"/>
        <v>#N/A</v>
      </c>
      <c r="AB93" s="151"/>
    </row>
    <row r="94" spans="23:28" x14ac:dyDescent="0.2">
      <c r="W94" s="152"/>
      <c r="X94" s="119" t="str">
        <f t="shared" si="9"/>
        <v>1D</v>
      </c>
      <c r="Y94" s="112" t="e">
        <f>_xll.qlCalendarAdvance(Calendar,Y93,X94,"f",FALSE)</f>
        <v>#VALUE!</v>
      </c>
      <c r="Z94" s="114" t="e">
        <f>_xll.qlCalendarAdvance(Calendar,Y94,0&amp;"D")</f>
        <v>#VALUE!</v>
      </c>
      <c r="AA94" s="115" t="e">
        <f ca="1"/>
        <v>#N/A</v>
      </c>
      <c r="AB94" s="151"/>
    </row>
    <row r="95" spans="23:28" x14ac:dyDescent="0.2">
      <c r="W95" s="152"/>
      <c r="X95" s="119" t="str">
        <f t="shared" si="9"/>
        <v>1D</v>
      </c>
      <c r="Y95" s="112" t="e">
        <f>_xll.qlCalendarAdvance(Calendar,Y94,X95,"f",FALSE)</f>
        <v>#VALUE!</v>
      </c>
      <c r="Z95" s="114" t="e">
        <f>_xll.qlCalendarAdvance(Calendar,Y95,0&amp;"D")</f>
        <v>#VALUE!</v>
      </c>
      <c r="AA95" s="115" t="e">
        <f ca="1"/>
        <v>#N/A</v>
      </c>
      <c r="AB95" s="151"/>
    </row>
    <row r="96" spans="23:28" x14ac:dyDescent="0.2">
      <c r="W96" s="152"/>
      <c r="X96" s="119" t="str">
        <f t="shared" si="9"/>
        <v>1D</v>
      </c>
      <c r="Y96" s="112" t="e">
        <f>_xll.qlCalendarAdvance(Calendar,Y95,X96,"f",FALSE)</f>
        <v>#VALUE!</v>
      </c>
      <c r="Z96" s="114" t="e">
        <f>_xll.qlCalendarAdvance(Calendar,Y96,0&amp;"D")</f>
        <v>#VALUE!</v>
      </c>
      <c r="AA96" s="115" t="e">
        <f ca="1"/>
        <v>#N/A</v>
      </c>
      <c r="AB96" s="151"/>
    </row>
    <row r="97" spans="23:28" x14ac:dyDescent="0.2">
      <c r="W97" s="152"/>
      <c r="X97" s="119" t="str">
        <f t="shared" si="9"/>
        <v>1D</v>
      </c>
      <c r="Y97" s="112" t="e">
        <f>_xll.qlCalendarAdvance(Calendar,Y96,X97,"f",FALSE)</f>
        <v>#VALUE!</v>
      </c>
      <c r="Z97" s="114" t="e">
        <f>_xll.qlCalendarAdvance(Calendar,Y97,0&amp;"D")</f>
        <v>#VALUE!</v>
      </c>
      <c r="AA97" s="115" t="e">
        <f ca="1"/>
        <v>#N/A</v>
      </c>
      <c r="AB97" s="151"/>
    </row>
    <row r="98" spans="23:28" x14ac:dyDescent="0.2">
      <c r="W98" s="152"/>
      <c r="X98" s="119" t="str">
        <f t="shared" si="9"/>
        <v>1D</v>
      </c>
      <c r="Y98" s="112" t="e">
        <f>_xll.qlCalendarAdvance(Calendar,Y97,X98,"f",FALSE)</f>
        <v>#VALUE!</v>
      </c>
      <c r="Z98" s="114" t="e">
        <f>_xll.qlCalendarAdvance(Calendar,Y98,0&amp;"D")</f>
        <v>#VALUE!</v>
      </c>
      <c r="AA98" s="115" t="e">
        <f ca="1"/>
        <v>#N/A</v>
      </c>
      <c r="AB98" s="151"/>
    </row>
    <row r="99" spans="23:28" x14ac:dyDescent="0.2">
      <c r="W99" s="152"/>
      <c r="X99" s="119" t="str">
        <f t="shared" si="9"/>
        <v>1D</v>
      </c>
      <c r="Y99" s="112" t="e">
        <f>_xll.qlCalendarAdvance(Calendar,Y98,X99,"f",FALSE)</f>
        <v>#VALUE!</v>
      </c>
      <c r="Z99" s="114" t="e">
        <f>_xll.qlCalendarAdvance(Calendar,Y99,0&amp;"D")</f>
        <v>#VALUE!</v>
      </c>
      <c r="AA99" s="115" t="e">
        <f ca="1"/>
        <v>#N/A</v>
      </c>
      <c r="AB99" s="151"/>
    </row>
    <row r="100" spans="23:28" x14ac:dyDescent="0.2">
      <c r="W100" s="152"/>
      <c r="X100" s="119" t="str">
        <f t="shared" si="9"/>
        <v>1D</v>
      </c>
      <c r="Y100" s="112" t="e">
        <f>_xll.qlCalendarAdvance(Calendar,Y99,X100,"f",FALSE)</f>
        <v>#VALUE!</v>
      </c>
      <c r="Z100" s="114" t="e">
        <f>_xll.qlCalendarAdvance(Calendar,Y100,0&amp;"D")</f>
        <v>#VALUE!</v>
      </c>
      <c r="AA100" s="115" t="e">
        <f ca="1"/>
        <v>#N/A</v>
      </c>
      <c r="AB100" s="151"/>
    </row>
    <row r="101" spans="23:28" x14ac:dyDescent="0.2">
      <c r="W101" s="152"/>
      <c r="X101" s="119" t="str">
        <f t="shared" si="9"/>
        <v>1D</v>
      </c>
      <c r="Y101" s="112" t="e">
        <f>_xll.qlCalendarAdvance(Calendar,Y100,X101,"f",FALSE)</f>
        <v>#VALUE!</v>
      </c>
      <c r="Z101" s="114" t="e">
        <f>_xll.qlCalendarAdvance(Calendar,Y101,0&amp;"D")</f>
        <v>#VALUE!</v>
      </c>
      <c r="AA101" s="115" t="e">
        <f ca="1"/>
        <v>#N/A</v>
      </c>
      <c r="AB101" s="151"/>
    </row>
    <row r="102" spans="23:28" x14ac:dyDescent="0.2">
      <c r="W102" s="152"/>
      <c r="X102" s="119" t="str">
        <f t="shared" si="9"/>
        <v>1D</v>
      </c>
      <c r="Y102" s="112" t="e">
        <f>_xll.qlCalendarAdvance(Calendar,Y101,X102,"f",FALSE)</f>
        <v>#VALUE!</v>
      </c>
      <c r="Z102" s="114" t="e">
        <f>_xll.qlCalendarAdvance(Calendar,Y102,0&amp;"D")</f>
        <v>#VALUE!</v>
      </c>
      <c r="AA102" s="115" t="e">
        <f ca="1"/>
        <v>#N/A</v>
      </c>
      <c r="AB102" s="151"/>
    </row>
    <row r="103" spans="23:28" x14ac:dyDescent="0.2">
      <c r="W103" s="152"/>
      <c r="X103" s="119" t="str">
        <f t="shared" si="9"/>
        <v>1D</v>
      </c>
      <c r="Y103" s="112" t="e">
        <f>_xll.qlCalendarAdvance(Calendar,Y102,X103,"f",FALSE)</f>
        <v>#VALUE!</v>
      </c>
      <c r="Z103" s="114" t="e">
        <f>_xll.qlCalendarAdvance(Calendar,Y103,0&amp;"D")</f>
        <v>#VALUE!</v>
      </c>
      <c r="AA103" s="115" t="e">
        <f ca="1"/>
        <v>#N/A</v>
      </c>
      <c r="AB103" s="151"/>
    </row>
    <row r="104" spans="23:28" x14ac:dyDescent="0.2">
      <c r="W104" s="152"/>
      <c r="X104" s="119" t="str">
        <f t="shared" si="9"/>
        <v>1D</v>
      </c>
      <c r="Y104" s="112" t="e">
        <f>_xll.qlCalendarAdvance(Calendar,Y103,X104,"f",FALSE)</f>
        <v>#VALUE!</v>
      </c>
      <c r="Z104" s="114" t="e">
        <f>_xll.qlCalendarAdvance(Calendar,Y104,0&amp;"D")</f>
        <v>#VALUE!</v>
      </c>
      <c r="AA104" s="115" t="e">
        <f ca="1"/>
        <v>#N/A</v>
      </c>
      <c r="AB104" s="151"/>
    </row>
    <row r="105" spans="23:28" x14ac:dyDescent="0.2">
      <c r="W105" s="152"/>
      <c r="X105" s="119" t="str">
        <f t="shared" si="9"/>
        <v>1D</v>
      </c>
      <c r="Y105" s="112" t="e">
        <f>_xll.qlCalendarAdvance(Calendar,Y104,X105,"f",FALSE)</f>
        <v>#VALUE!</v>
      </c>
      <c r="Z105" s="114" t="e">
        <f>_xll.qlCalendarAdvance(Calendar,Y105,0&amp;"D")</f>
        <v>#VALUE!</v>
      </c>
      <c r="AA105" s="115" t="e">
        <f ca="1"/>
        <v>#N/A</v>
      </c>
      <c r="AB105" s="151"/>
    </row>
    <row r="106" spans="23:28" x14ac:dyDescent="0.2">
      <c r="W106" s="152"/>
      <c r="X106" s="119" t="str">
        <f t="shared" si="9"/>
        <v>1D</v>
      </c>
      <c r="Y106" s="112" t="e">
        <f>_xll.qlCalendarAdvance(Calendar,Y105,X106,"f",FALSE)</f>
        <v>#VALUE!</v>
      </c>
      <c r="Z106" s="114" t="e">
        <f>_xll.qlCalendarAdvance(Calendar,Y106,0&amp;"D")</f>
        <v>#VALUE!</v>
      </c>
      <c r="AA106" s="115" t="e">
        <f ca="1"/>
        <v>#N/A</v>
      </c>
      <c r="AB106" s="151"/>
    </row>
    <row r="107" spans="23:28" x14ac:dyDescent="0.2">
      <c r="W107" s="152"/>
      <c r="X107" s="119" t="str">
        <f t="shared" si="9"/>
        <v>1D</v>
      </c>
      <c r="Y107" s="112" t="e">
        <f>_xll.qlCalendarAdvance(Calendar,Y106,X107,"f",FALSE)</f>
        <v>#VALUE!</v>
      </c>
      <c r="Z107" s="114" t="e">
        <f>_xll.qlCalendarAdvance(Calendar,Y107,0&amp;"D")</f>
        <v>#VALUE!</v>
      </c>
      <c r="AA107" s="115" t="e">
        <f ca="1"/>
        <v>#N/A</v>
      </c>
      <c r="AB107" s="151"/>
    </row>
    <row r="108" spans="23:28" x14ac:dyDescent="0.2">
      <c r="W108" s="152"/>
      <c r="X108" s="119" t="str">
        <f t="shared" si="9"/>
        <v>1D</v>
      </c>
      <c r="Y108" s="112" t="e">
        <f>_xll.qlCalendarAdvance(Calendar,Y107,X108,"f",FALSE)</f>
        <v>#VALUE!</v>
      </c>
      <c r="Z108" s="114" t="e">
        <f>_xll.qlCalendarAdvance(Calendar,Y108,0&amp;"D")</f>
        <v>#VALUE!</v>
      </c>
      <c r="AA108" s="115" t="e">
        <f ca="1"/>
        <v>#N/A</v>
      </c>
      <c r="AB108" s="151"/>
    </row>
    <row r="109" spans="23:28" x14ac:dyDescent="0.2">
      <c r="W109" s="152"/>
      <c r="X109" s="119" t="str">
        <f t="shared" si="9"/>
        <v>1D</v>
      </c>
      <c r="Y109" s="112" t="e">
        <f>_xll.qlCalendarAdvance(Calendar,Y108,X109,"f",FALSE)</f>
        <v>#VALUE!</v>
      </c>
      <c r="Z109" s="114" t="e">
        <f>_xll.qlCalendarAdvance(Calendar,Y109,0&amp;"D")</f>
        <v>#VALUE!</v>
      </c>
      <c r="AA109" s="115" t="e">
        <f ca="1"/>
        <v>#N/A</v>
      </c>
      <c r="AB109" s="151"/>
    </row>
    <row r="110" spans="23:28" x14ac:dyDescent="0.2">
      <c r="W110" s="152"/>
      <c r="X110" s="119" t="str">
        <f t="shared" si="9"/>
        <v>1D</v>
      </c>
      <c r="Y110" s="112" t="e">
        <f>_xll.qlCalendarAdvance(Calendar,Y109,X110,"f",FALSE)</f>
        <v>#VALUE!</v>
      </c>
      <c r="Z110" s="114" t="e">
        <f>_xll.qlCalendarAdvance(Calendar,Y110,0&amp;"D")</f>
        <v>#VALUE!</v>
      </c>
      <c r="AA110" s="115" t="e">
        <f ca="1"/>
        <v>#N/A</v>
      </c>
      <c r="AB110" s="151"/>
    </row>
    <row r="111" spans="23:28" x14ac:dyDescent="0.2">
      <c r="W111" s="152"/>
      <c r="X111" s="119" t="str">
        <f t="shared" si="9"/>
        <v>1D</v>
      </c>
      <c r="Y111" s="112" t="e">
        <f>_xll.qlCalendarAdvance(Calendar,Y110,X111,"f",FALSE)</f>
        <v>#VALUE!</v>
      </c>
      <c r="Z111" s="114" t="e">
        <f>_xll.qlCalendarAdvance(Calendar,Y111,0&amp;"D")</f>
        <v>#VALUE!</v>
      </c>
      <c r="AA111" s="115" t="e">
        <f ca="1"/>
        <v>#N/A</v>
      </c>
      <c r="AB111" s="151"/>
    </row>
    <row r="112" spans="23:28" x14ac:dyDescent="0.2">
      <c r="W112" s="152"/>
      <c r="X112" s="119" t="str">
        <f t="shared" si="9"/>
        <v>1D</v>
      </c>
      <c r="Y112" s="112" t="e">
        <f>_xll.qlCalendarAdvance(Calendar,Y111,X112,"f",FALSE)</f>
        <v>#VALUE!</v>
      </c>
      <c r="Z112" s="114" t="e">
        <f>_xll.qlCalendarAdvance(Calendar,Y112,0&amp;"D")</f>
        <v>#VALUE!</v>
      </c>
      <c r="AA112" s="115" t="e">
        <f ca="1"/>
        <v>#N/A</v>
      </c>
      <c r="AB112" s="151"/>
    </row>
    <row r="113" spans="23:28" x14ac:dyDescent="0.2">
      <c r="W113" s="152"/>
      <c r="X113" s="119" t="str">
        <f t="shared" si="9"/>
        <v>1D</v>
      </c>
      <c r="Y113" s="112" t="e">
        <f>_xll.qlCalendarAdvance(Calendar,Y112,X113,"f",FALSE)</f>
        <v>#VALUE!</v>
      </c>
      <c r="Z113" s="114" t="e">
        <f>_xll.qlCalendarAdvance(Calendar,Y113,0&amp;"D")</f>
        <v>#VALUE!</v>
      </c>
      <c r="AA113" s="115" t="e">
        <f ca="1"/>
        <v>#N/A</v>
      </c>
      <c r="AB113" s="151"/>
    </row>
    <row r="114" spans="23:28" x14ac:dyDescent="0.2">
      <c r="W114" s="152"/>
      <c r="X114" s="119" t="str">
        <f t="shared" si="9"/>
        <v>1D</v>
      </c>
      <c r="Y114" s="112" t="e">
        <f>_xll.qlCalendarAdvance(Calendar,Y113,X114,"f",FALSE)</f>
        <v>#VALUE!</v>
      </c>
      <c r="Z114" s="114" t="e">
        <f>_xll.qlCalendarAdvance(Calendar,Y114,0&amp;"D")</f>
        <v>#VALUE!</v>
      </c>
      <c r="AA114" s="115" t="e">
        <f ca="1"/>
        <v>#N/A</v>
      </c>
      <c r="AB114" s="151"/>
    </row>
    <row r="115" spans="23:28" x14ac:dyDescent="0.2">
      <c r="W115" s="152"/>
      <c r="X115" s="119" t="str">
        <f t="shared" si="9"/>
        <v>1D</v>
      </c>
      <c r="Y115" s="112" t="e">
        <f>_xll.qlCalendarAdvance(Calendar,Y114,X115,"f",FALSE)</f>
        <v>#VALUE!</v>
      </c>
      <c r="Z115" s="114" t="e">
        <f>_xll.qlCalendarAdvance(Calendar,Y115,0&amp;"D")</f>
        <v>#VALUE!</v>
      </c>
      <c r="AA115" s="115" t="e">
        <f ca="1"/>
        <v>#N/A</v>
      </c>
      <c r="AB115" s="151"/>
    </row>
    <row r="116" spans="23:28" x14ac:dyDescent="0.2">
      <c r="W116" s="152"/>
      <c r="X116" s="119" t="str">
        <f t="shared" si="9"/>
        <v>1D</v>
      </c>
      <c r="Y116" s="112" t="e">
        <f>_xll.qlCalendarAdvance(Calendar,Y115,X116,"f",FALSE)</f>
        <v>#VALUE!</v>
      </c>
      <c r="Z116" s="114" t="e">
        <f>_xll.qlCalendarAdvance(Calendar,Y116,0&amp;"D")</f>
        <v>#VALUE!</v>
      </c>
      <c r="AA116" s="115" t="e">
        <f ca="1"/>
        <v>#N/A</v>
      </c>
      <c r="AB116" s="151"/>
    </row>
    <row r="117" spans="23:28" x14ac:dyDescent="0.2">
      <c r="W117" s="152"/>
      <c r="X117" s="119" t="str">
        <f t="shared" si="9"/>
        <v>1D</v>
      </c>
      <c r="Y117" s="112" t="e">
        <f>_xll.qlCalendarAdvance(Calendar,Y116,X117,"f",FALSE)</f>
        <v>#VALUE!</v>
      </c>
      <c r="Z117" s="114" t="e">
        <f>_xll.qlCalendarAdvance(Calendar,Y117,0&amp;"D")</f>
        <v>#VALUE!</v>
      </c>
      <c r="AA117" s="115" t="e">
        <f ca="1"/>
        <v>#N/A</v>
      </c>
      <c r="AB117" s="151"/>
    </row>
    <row r="118" spans="23:28" x14ac:dyDescent="0.2">
      <c r="W118" s="152"/>
      <c r="X118" s="119" t="str">
        <f t="shared" si="9"/>
        <v>1D</v>
      </c>
      <c r="Y118" s="112" t="e">
        <f>_xll.qlCalendarAdvance(Calendar,Y117,X118,"f",FALSE)</f>
        <v>#VALUE!</v>
      </c>
      <c r="Z118" s="114" t="e">
        <f>_xll.qlCalendarAdvance(Calendar,Y118,0&amp;"D")</f>
        <v>#VALUE!</v>
      </c>
      <c r="AA118" s="115" t="e">
        <f ca="1"/>
        <v>#N/A</v>
      </c>
      <c r="AB118" s="151"/>
    </row>
    <row r="119" spans="23:28" x14ac:dyDescent="0.2">
      <c r="W119" s="152"/>
      <c r="X119" s="119" t="str">
        <f t="shared" si="9"/>
        <v>1D</v>
      </c>
      <c r="Y119" s="112" t="e">
        <f>_xll.qlCalendarAdvance(Calendar,Y118,X119,"f",FALSE)</f>
        <v>#VALUE!</v>
      </c>
      <c r="Z119" s="114" t="e">
        <f>_xll.qlCalendarAdvance(Calendar,Y119,0&amp;"D")</f>
        <v>#VALUE!</v>
      </c>
      <c r="AA119" s="115" t="e">
        <f ca="1"/>
        <v>#N/A</v>
      </c>
      <c r="AB119" s="151"/>
    </row>
    <row r="120" spans="23:28" x14ac:dyDescent="0.2">
      <c r="W120" s="152"/>
      <c r="X120" s="119" t="str">
        <f t="shared" si="9"/>
        <v>1D</v>
      </c>
      <c r="Y120" s="112" t="e">
        <f>_xll.qlCalendarAdvance(Calendar,Y119,X120,"f",FALSE)</f>
        <v>#VALUE!</v>
      </c>
      <c r="Z120" s="114" t="e">
        <f>_xll.qlCalendarAdvance(Calendar,Y120,0&amp;"D")</f>
        <v>#VALUE!</v>
      </c>
      <c r="AA120" s="115" t="e">
        <f ca="1"/>
        <v>#N/A</v>
      </c>
      <c r="AB120" s="151"/>
    </row>
    <row r="121" spans="23:28" x14ac:dyDescent="0.2">
      <c r="W121" s="152"/>
      <c r="X121" s="119" t="str">
        <f t="shared" si="9"/>
        <v>1D</v>
      </c>
      <c r="Y121" s="112" t="e">
        <f>_xll.qlCalendarAdvance(Calendar,Y120,X121,"f",FALSE)</f>
        <v>#VALUE!</v>
      </c>
      <c r="Z121" s="114" t="e">
        <f>_xll.qlCalendarAdvance(Calendar,Y121,0&amp;"D")</f>
        <v>#VALUE!</v>
      </c>
      <c r="AA121" s="115" t="e">
        <f ca="1"/>
        <v>#N/A</v>
      </c>
      <c r="AB121" s="151"/>
    </row>
    <row r="122" spans="23:28" x14ac:dyDescent="0.2">
      <c r="W122" s="152"/>
      <c r="X122" s="119" t="str">
        <f t="shared" si="9"/>
        <v>1D</v>
      </c>
      <c r="Y122" s="112" t="e">
        <f>_xll.qlCalendarAdvance(Calendar,Y121,X122,"f",FALSE)</f>
        <v>#VALUE!</v>
      </c>
      <c r="Z122" s="114" t="e">
        <f>_xll.qlCalendarAdvance(Calendar,Y122,0&amp;"D")</f>
        <v>#VALUE!</v>
      </c>
      <c r="AA122" s="115" t="e">
        <f ca="1"/>
        <v>#N/A</v>
      </c>
      <c r="AB122" s="151"/>
    </row>
    <row r="123" spans="23:28" x14ac:dyDescent="0.2">
      <c r="W123" s="152"/>
      <c r="X123" s="119" t="str">
        <f t="shared" si="9"/>
        <v>1D</v>
      </c>
      <c r="Y123" s="112" t="e">
        <f>_xll.qlCalendarAdvance(Calendar,Y122,X123,"f",FALSE)</f>
        <v>#VALUE!</v>
      </c>
      <c r="Z123" s="114" t="e">
        <f>_xll.qlCalendarAdvance(Calendar,Y123,0&amp;"D")</f>
        <v>#VALUE!</v>
      </c>
      <c r="AA123" s="115" t="e">
        <f ca="1"/>
        <v>#N/A</v>
      </c>
      <c r="AB123" s="151"/>
    </row>
    <row r="124" spans="23:28" x14ac:dyDescent="0.2">
      <c r="W124" s="152"/>
      <c r="X124" s="119" t="str">
        <f t="shared" si="9"/>
        <v>1D</v>
      </c>
      <c r="Y124" s="112" t="e">
        <f>_xll.qlCalendarAdvance(Calendar,Y123,X124,"f",FALSE)</f>
        <v>#VALUE!</v>
      </c>
      <c r="Z124" s="114" t="e">
        <f>_xll.qlCalendarAdvance(Calendar,Y124,0&amp;"D")</f>
        <v>#VALUE!</v>
      </c>
      <c r="AA124" s="115" t="e">
        <f ca="1"/>
        <v>#N/A</v>
      </c>
      <c r="AB124" s="151"/>
    </row>
    <row r="125" spans="23:28" x14ac:dyDescent="0.2">
      <c r="W125" s="152"/>
      <c r="X125" s="119" t="str">
        <f t="shared" si="9"/>
        <v>1D</v>
      </c>
      <c r="Y125" s="112" t="e">
        <f>_xll.qlCalendarAdvance(Calendar,Y124,X125,"f",FALSE)</f>
        <v>#VALUE!</v>
      </c>
      <c r="Z125" s="114" t="e">
        <f>_xll.qlCalendarAdvance(Calendar,Y125,0&amp;"D")</f>
        <v>#VALUE!</v>
      </c>
      <c r="AA125" s="115" t="e">
        <f ca="1"/>
        <v>#N/A</v>
      </c>
      <c r="AB125" s="151"/>
    </row>
    <row r="126" spans="23:28" x14ac:dyDescent="0.2">
      <c r="W126" s="152"/>
      <c r="X126" s="119" t="str">
        <f t="shared" si="9"/>
        <v>1D</v>
      </c>
      <c r="Y126" s="112" t="e">
        <f>_xll.qlCalendarAdvance(Calendar,Y125,X126,"f",FALSE)</f>
        <v>#VALUE!</v>
      </c>
      <c r="Z126" s="114" t="e">
        <f>_xll.qlCalendarAdvance(Calendar,Y126,0&amp;"D")</f>
        <v>#VALUE!</v>
      </c>
      <c r="AA126" s="115" t="e">
        <f ca="1"/>
        <v>#N/A</v>
      </c>
      <c r="AB126" s="151"/>
    </row>
    <row r="127" spans="23:28" x14ac:dyDescent="0.2">
      <c r="W127" s="152"/>
      <c r="X127" s="119" t="str">
        <f t="shared" si="9"/>
        <v>1D</v>
      </c>
      <c r="Y127" s="112" t="e">
        <f>_xll.qlCalendarAdvance(Calendar,Y126,X127,"f",FALSE)</f>
        <v>#VALUE!</v>
      </c>
      <c r="Z127" s="114" t="e">
        <f>_xll.qlCalendarAdvance(Calendar,Y127,0&amp;"D")</f>
        <v>#VALUE!</v>
      </c>
      <c r="AA127" s="115" t="e">
        <f ca="1"/>
        <v>#N/A</v>
      </c>
      <c r="AB127" s="151"/>
    </row>
    <row r="128" spans="23:28" x14ac:dyDescent="0.2">
      <c r="W128" s="152"/>
      <c r="X128" s="119" t="str">
        <f t="shared" si="9"/>
        <v>1D</v>
      </c>
      <c r="Y128" s="112" t="e">
        <f>_xll.qlCalendarAdvance(Calendar,Y127,X128,"f",FALSE)</f>
        <v>#VALUE!</v>
      </c>
      <c r="Z128" s="114" t="e">
        <f>_xll.qlCalendarAdvance(Calendar,Y128,0&amp;"D")</f>
        <v>#VALUE!</v>
      </c>
      <c r="AA128" s="115" t="e">
        <f ca="1"/>
        <v>#N/A</v>
      </c>
      <c r="AB128" s="151"/>
    </row>
    <row r="129" spans="23:28" x14ac:dyDescent="0.2">
      <c r="W129" s="152"/>
      <c r="X129" s="119" t="str">
        <f t="shared" si="9"/>
        <v>1D</v>
      </c>
      <c r="Y129" s="112" t="e">
        <f>_xll.qlCalendarAdvance(Calendar,Y128,X129,"f",FALSE)</f>
        <v>#VALUE!</v>
      </c>
      <c r="Z129" s="114" t="e">
        <f>_xll.qlCalendarAdvance(Calendar,Y129,0&amp;"D")</f>
        <v>#VALUE!</v>
      </c>
      <c r="AA129" s="115" t="e">
        <f ca="1"/>
        <v>#N/A</v>
      </c>
      <c r="AB129" s="151"/>
    </row>
    <row r="130" spans="23:28" x14ac:dyDescent="0.2">
      <c r="W130" s="152"/>
      <c r="X130" s="119" t="str">
        <f t="shared" si="9"/>
        <v>1D</v>
      </c>
      <c r="Y130" s="112" t="e">
        <f>_xll.qlCalendarAdvance(Calendar,Y129,X130,"f",FALSE)</f>
        <v>#VALUE!</v>
      </c>
      <c r="Z130" s="114" t="e">
        <f>_xll.qlCalendarAdvance(Calendar,Y130,0&amp;"D")</f>
        <v>#VALUE!</v>
      </c>
      <c r="AA130" s="115" t="e">
        <f ca="1"/>
        <v>#N/A</v>
      </c>
      <c r="AB130" s="151"/>
    </row>
    <row r="131" spans="23:28" x14ac:dyDescent="0.2">
      <c r="W131" s="152"/>
      <c r="X131" s="119" t="str">
        <f t="shared" si="9"/>
        <v>1D</v>
      </c>
      <c r="Y131" s="112" t="e">
        <f>_xll.qlCalendarAdvance(Calendar,Y130,X131,"f",FALSE)</f>
        <v>#VALUE!</v>
      </c>
      <c r="Z131" s="114" t="e">
        <f>_xll.qlCalendarAdvance(Calendar,Y131,0&amp;"D")</f>
        <v>#VALUE!</v>
      </c>
      <c r="AA131" s="115" t="e">
        <f ca="1"/>
        <v>#N/A</v>
      </c>
      <c r="AB131" s="151"/>
    </row>
    <row r="132" spans="23:28" x14ac:dyDescent="0.2">
      <c r="W132" s="152"/>
      <c r="X132" s="119" t="str">
        <f t="shared" si="9"/>
        <v>1D</v>
      </c>
      <c r="Y132" s="112" t="e">
        <f>_xll.qlCalendarAdvance(Calendar,Y131,X132,"f",FALSE)</f>
        <v>#VALUE!</v>
      </c>
      <c r="Z132" s="114" t="e">
        <f>_xll.qlCalendarAdvance(Calendar,Y132,0&amp;"D")</f>
        <v>#VALUE!</v>
      </c>
      <c r="AA132" s="115" t="e">
        <f ca="1"/>
        <v>#N/A</v>
      </c>
      <c r="AB132" s="151"/>
    </row>
    <row r="133" spans="23:28" x14ac:dyDescent="0.2">
      <c r="W133" s="152"/>
      <c r="X133" s="119" t="str">
        <f t="shared" si="9"/>
        <v>1D</v>
      </c>
      <c r="Y133" s="112" t="e">
        <f>_xll.qlCalendarAdvance(Calendar,Y132,X133,"f",FALSE)</f>
        <v>#VALUE!</v>
      </c>
      <c r="Z133" s="114" t="e">
        <f>_xll.qlCalendarAdvance(Calendar,Y133,0&amp;"D")</f>
        <v>#VALUE!</v>
      </c>
      <c r="AA133" s="115" t="e">
        <f ca="1"/>
        <v>#N/A</v>
      </c>
      <c r="AB133" s="151"/>
    </row>
    <row r="134" spans="23:28" x14ac:dyDescent="0.2">
      <c r="W134" s="152"/>
      <c r="X134" s="119" t="str">
        <f t="shared" si="9"/>
        <v>1D</v>
      </c>
      <c r="Y134" s="112" t="e">
        <f>_xll.qlCalendarAdvance(Calendar,Y133,X134,"f",FALSE)</f>
        <v>#VALUE!</v>
      </c>
      <c r="Z134" s="114" t="e">
        <f>_xll.qlCalendarAdvance(Calendar,Y134,0&amp;"D")</f>
        <v>#VALUE!</v>
      </c>
      <c r="AA134" s="115" t="e">
        <f ca="1"/>
        <v>#N/A</v>
      </c>
      <c r="AB134" s="151"/>
    </row>
    <row r="135" spans="23:28" x14ac:dyDescent="0.2">
      <c r="W135" s="152"/>
      <c r="X135" s="119" t="str">
        <f t="shared" si="9"/>
        <v>1D</v>
      </c>
      <c r="Y135" s="112" t="e">
        <f>_xll.qlCalendarAdvance(Calendar,Y134,X135,"f",FALSE)</f>
        <v>#VALUE!</v>
      </c>
      <c r="Z135" s="114" t="e">
        <f>_xll.qlCalendarAdvance(Calendar,Y135,0&amp;"D")</f>
        <v>#VALUE!</v>
      </c>
      <c r="AA135" s="115" t="e">
        <f ca="1"/>
        <v>#N/A</v>
      </c>
      <c r="AB135" s="151"/>
    </row>
    <row r="136" spans="23:28" x14ac:dyDescent="0.2">
      <c r="W136" s="152"/>
      <c r="X136" s="119" t="str">
        <f t="shared" si="9"/>
        <v>1D</v>
      </c>
      <c r="Y136" s="112" t="e">
        <f>_xll.qlCalendarAdvance(Calendar,Y135,X136,"f",FALSE)</f>
        <v>#VALUE!</v>
      </c>
      <c r="Z136" s="114" t="e">
        <f>_xll.qlCalendarAdvance(Calendar,Y136,0&amp;"D")</f>
        <v>#VALUE!</v>
      </c>
      <c r="AA136" s="115" t="e">
        <f ca="1"/>
        <v>#N/A</v>
      </c>
      <c r="AB136" s="151"/>
    </row>
    <row r="137" spans="23:28" x14ac:dyDescent="0.2">
      <c r="W137" s="152"/>
      <c r="X137" s="119" t="str">
        <f t="shared" si="9"/>
        <v>1D</v>
      </c>
      <c r="Y137" s="112" t="e">
        <f>_xll.qlCalendarAdvance(Calendar,Y136,X137,"f",FALSE)</f>
        <v>#VALUE!</v>
      </c>
      <c r="Z137" s="114" t="e">
        <f>_xll.qlCalendarAdvance(Calendar,Y137,0&amp;"D")</f>
        <v>#VALUE!</v>
      </c>
      <c r="AA137" s="115" t="e">
        <f ca="1"/>
        <v>#N/A</v>
      </c>
      <c r="AB137" s="151"/>
    </row>
    <row r="138" spans="23:28" x14ac:dyDescent="0.2">
      <c r="W138" s="152"/>
      <c r="X138" s="119" t="str">
        <f t="shared" si="9"/>
        <v>1D</v>
      </c>
      <c r="Y138" s="112" t="e">
        <f>_xll.qlCalendarAdvance(Calendar,Y137,X138,"f",FALSE)</f>
        <v>#VALUE!</v>
      </c>
      <c r="Z138" s="114" t="e">
        <f>_xll.qlCalendarAdvance(Calendar,Y138,0&amp;"D")</f>
        <v>#VALUE!</v>
      </c>
      <c r="AA138" s="115" t="e">
        <f ca="1"/>
        <v>#N/A</v>
      </c>
      <c r="AB138" s="151"/>
    </row>
    <row r="139" spans="23:28" x14ac:dyDescent="0.2">
      <c r="W139" s="152"/>
      <c r="X139" s="119" t="str">
        <f t="shared" si="9"/>
        <v>1D</v>
      </c>
      <c r="Y139" s="112" t="e">
        <f>_xll.qlCalendarAdvance(Calendar,Y138,X139,"f",FALSE)</f>
        <v>#VALUE!</v>
      </c>
      <c r="Z139" s="114" t="e">
        <f>_xll.qlCalendarAdvance(Calendar,Y139,0&amp;"D")</f>
        <v>#VALUE!</v>
      </c>
      <c r="AA139" s="115" t="e">
        <f ca="1"/>
        <v>#N/A</v>
      </c>
      <c r="AB139" s="151"/>
    </row>
    <row r="140" spans="23:28" x14ac:dyDescent="0.2">
      <c r="W140" s="152"/>
      <c r="X140" s="119" t="str">
        <f t="shared" si="9"/>
        <v>1D</v>
      </c>
      <c r="Y140" s="112" t="e">
        <f>_xll.qlCalendarAdvance(Calendar,Y139,X140,"f",FALSE)</f>
        <v>#VALUE!</v>
      </c>
      <c r="Z140" s="114" t="e">
        <f>_xll.qlCalendarAdvance(Calendar,Y140,0&amp;"D")</f>
        <v>#VALUE!</v>
      </c>
      <c r="AA140" s="115" t="e">
        <f ca="1"/>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f ca="1"/>
        <v>#N/A</v>
      </c>
      <c r="AB141" s="151"/>
    </row>
    <row r="142" spans="23:28" x14ac:dyDescent="0.2">
      <c r="W142" s="152"/>
      <c r="X142" s="119" t="str">
        <f t="shared" si="10"/>
        <v>1D</v>
      </c>
      <c r="Y142" s="112" t="e">
        <f>_xll.qlCalendarAdvance(Calendar,Y141,X142,"f",FALSE)</f>
        <v>#VALUE!</v>
      </c>
      <c r="Z142" s="114" t="e">
        <f>_xll.qlCalendarAdvance(Calendar,Y142,0&amp;"D")</f>
        <v>#VALUE!</v>
      </c>
      <c r="AA142" s="115" t="e">
        <f ca="1"/>
        <v>#N/A</v>
      </c>
      <c r="AB142" s="151"/>
    </row>
    <row r="143" spans="23:28" x14ac:dyDescent="0.2">
      <c r="W143" s="152"/>
      <c r="X143" s="119" t="str">
        <f t="shared" si="10"/>
        <v>1D</v>
      </c>
      <c r="Y143" s="112" t="e">
        <f>_xll.qlCalendarAdvance(Calendar,Y142,X143,"f",FALSE)</f>
        <v>#VALUE!</v>
      </c>
      <c r="Z143" s="114" t="e">
        <f>_xll.qlCalendarAdvance(Calendar,Y143,0&amp;"D")</f>
        <v>#VALUE!</v>
      </c>
      <c r="AA143" s="115" t="e">
        <f ca="1"/>
        <v>#N/A</v>
      </c>
      <c r="AB143" s="151"/>
    </row>
    <row r="144" spans="23:28" x14ac:dyDescent="0.2">
      <c r="W144" s="152"/>
      <c r="X144" s="119" t="str">
        <f t="shared" si="10"/>
        <v>1D</v>
      </c>
      <c r="Y144" s="112" t="e">
        <f>_xll.qlCalendarAdvance(Calendar,Y143,X144,"f",FALSE)</f>
        <v>#VALUE!</v>
      </c>
      <c r="Z144" s="114" t="e">
        <f>_xll.qlCalendarAdvance(Calendar,Y144,0&amp;"D")</f>
        <v>#VALUE!</v>
      </c>
      <c r="AA144" s="115" t="e">
        <f ca="1"/>
        <v>#N/A</v>
      </c>
      <c r="AB144" s="151"/>
    </row>
    <row r="145" spans="23:28" x14ac:dyDescent="0.2">
      <c r="W145" s="152"/>
      <c r="X145" s="119" t="str">
        <f t="shared" si="10"/>
        <v>1D</v>
      </c>
      <c r="Y145" s="112" t="e">
        <f>_xll.qlCalendarAdvance(Calendar,Y144,X145,"f",FALSE)</f>
        <v>#VALUE!</v>
      </c>
      <c r="Z145" s="114" t="e">
        <f>_xll.qlCalendarAdvance(Calendar,Y145,0&amp;"D")</f>
        <v>#VALUE!</v>
      </c>
      <c r="AA145" s="115" t="e">
        <f ca="1"/>
        <v>#N/A</v>
      </c>
      <c r="AB145" s="151"/>
    </row>
    <row r="146" spans="23:28" x14ac:dyDescent="0.2">
      <c r="W146" s="152"/>
      <c r="X146" s="119" t="str">
        <f t="shared" si="10"/>
        <v>1D</v>
      </c>
      <c r="Y146" s="112" t="e">
        <f>_xll.qlCalendarAdvance(Calendar,Y145,X146,"f",FALSE)</f>
        <v>#VALUE!</v>
      </c>
      <c r="Z146" s="114" t="e">
        <f>_xll.qlCalendarAdvance(Calendar,Y146,0&amp;"D")</f>
        <v>#VALUE!</v>
      </c>
      <c r="AA146" s="115" t="e">
        <f ca="1"/>
        <v>#N/A</v>
      </c>
      <c r="AB146" s="151"/>
    </row>
    <row r="147" spans="23:28" x14ac:dyDescent="0.2">
      <c r="W147" s="152"/>
      <c r="X147" s="119" t="str">
        <f t="shared" si="10"/>
        <v>1D</v>
      </c>
      <c r="Y147" s="112" t="e">
        <f>_xll.qlCalendarAdvance(Calendar,Y146,X147,"f",FALSE)</f>
        <v>#VALUE!</v>
      </c>
      <c r="Z147" s="114" t="e">
        <f>_xll.qlCalendarAdvance(Calendar,Y147,0&amp;"D")</f>
        <v>#VALUE!</v>
      </c>
      <c r="AA147" s="115" t="e">
        <f ca="1"/>
        <v>#N/A</v>
      </c>
      <c r="AB147" s="151"/>
    </row>
    <row r="148" spans="23:28" x14ac:dyDescent="0.2">
      <c r="W148" s="152"/>
      <c r="X148" s="119" t="str">
        <f t="shared" si="10"/>
        <v>1D</v>
      </c>
      <c r="Y148" s="112" t="e">
        <f>_xll.qlCalendarAdvance(Calendar,Y147,X148,"f",FALSE)</f>
        <v>#VALUE!</v>
      </c>
      <c r="Z148" s="114" t="e">
        <f>_xll.qlCalendarAdvance(Calendar,Y148,0&amp;"D")</f>
        <v>#VALUE!</v>
      </c>
      <c r="AA148" s="115" t="e">
        <f ca="1"/>
        <v>#N/A</v>
      </c>
      <c r="AB148" s="151"/>
    </row>
    <row r="149" spans="23:28" x14ac:dyDescent="0.2">
      <c r="W149" s="152"/>
      <c r="X149" s="119" t="str">
        <f t="shared" si="10"/>
        <v>1D</v>
      </c>
      <c r="Y149" s="112" t="e">
        <f>_xll.qlCalendarAdvance(Calendar,Y148,X149,"f",FALSE)</f>
        <v>#VALUE!</v>
      </c>
      <c r="Z149" s="114" t="e">
        <f>_xll.qlCalendarAdvance(Calendar,Y149,0&amp;"D")</f>
        <v>#VALUE!</v>
      </c>
      <c r="AA149" s="115" t="e">
        <f ca="1"/>
        <v>#N/A</v>
      </c>
      <c r="AB149" s="151"/>
    </row>
    <row r="150" spans="23:28" x14ac:dyDescent="0.2">
      <c r="W150" s="152"/>
      <c r="X150" s="119" t="str">
        <f t="shared" si="10"/>
        <v>1D</v>
      </c>
      <c r="Y150" s="112" t="e">
        <f>_xll.qlCalendarAdvance(Calendar,Y149,X150,"f",FALSE)</f>
        <v>#VALUE!</v>
      </c>
      <c r="Z150" s="114" t="e">
        <f>_xll.qlCalendarAdvance(Calendar,Y150,0&amp;"D")</f>
        <v>#VALUE!</v>
      </c>
      <c r="AA150" s="115" t="e">
        <f ca="1"/>
        <v>#N/A</v>
      </c>
      <c r="AB150" s="151"/>
    </row>
    <row r="151" spans="23:28" x14ac:dyDescent="0.2">
      <c r="W151" s="152"/>
      <c r="X151" s="119" t="str">
        <f t="shared" si="10"/>
        <v>1D</v>
      </c>
      <c r="Y151" s="112" t="e">
        <f>_xll.qlCalendarAdvance(Calendar,Y150,X151,"f",FALSE)</f>
        <v>#VALUE!</v>
      </c>
      <c r="Z151" s="114" t="e">
        <f>_xll.qlCalendarAdvance(Calendar,Y151,0&amp;"D")</f>
        <v>#VALUE!</v>
      </c>
      <c r="AA151" s="115" t="e">
        <f ca="1"/>
        <v>#N/A</v>
      </c>
      <c r="AB151" s="151"/>
    </row>
    <row r="152" spans="23:28" x14ac:dyDescent="0.2">
      <c r="W152" s="152"/>
      <c r="X152" s="119" t="str">
        <f t="shared" si="10"/>
        <v>1D</v>
      </c>
      <c r="Y152" s="112" t="e">
        <f>_xll.qlCalendarAdvance(Calendar,Y151,X152,"f",FALSE)</f>
        <v>#VALUE!</v>
      </c>
      <c r="Z152" s="114" t="e">
        <f>_xll.qlCalendarAdvance(Calendar,Y152,0&amp;"D")</f>
        <v>#VALUE!</v>
      </c>
      <c r="AA152" s="115" t="e">
        <f ca="1"/>
        <v>#N/A</v>
      </c>
      <c r="AB152" s="151"/>
    </row>
    <row r="153" spans="23:28" x14ac:dyDescent="0.2">
      <c r="W153" s="152"/>
      <c r="X153" s="119" t="str">
        <f t="shared" si="10"/>
        <v>1D</v>
      </c>
      <c r="Y153" s="112" t="e">
        <f>_xll.qlCalendarAdvance(Calendar,Y152,X153,"f",FALSE)</f>
        <v>#VALUE!</v>
      </c>
      <c r="Z153" s="114" t="e">
        <f>_xll.qlCalendarAdvance(Calendar,Y153,0&amp;"D")</f>
        <v>#VALUE!</v>
      </c>
      <c r="AA153" s="115" t="e">
        <f ca="1"/>
        <v>#N/A</v>
      </c>
      <c r="AB153" s="151"/>
    </row>
    <row r="154" spans="23:28" x14ac:dyDescent="0.2">
      <c r="W154" s="152"/>
      <c r="X154" s="119" t="str">
        <f t="shared" si="10"/>
        <v>1D</v>
      </c>
      <c r="Y154" s="112" t="e">
        <f>_xll.qlCalendarAdvance(Calendar,Y153,X154,"f",FALSE)</f>
        <v>#VALUE!</v>
      </c>
      <c r="Z154" s="114" t="e">
        <f>_xll.qlCalendarAdvance(Calendar,Y154,0&amp;"D")</f>
        <v>#VALUE!</v>
      </c>
      <c r="AA154" s="115" t="e">
        <f ca="1"/>
        <v>#N/A</v>
      </c>
      <c r="AB154" s="151"/>
    </row>
    <row r="155" spans="23:28" x14ac:dyDescent="0.2">
      <c r="W155" s="152"/>
      <c r="X155" s="119" t="str">
        <f t="shared" si="10"/>
        <v>1D</v>
      </c>
      <c r="Y155" s="112" t="e">
        <f>_xll.qlCalendarAdvance(Calendar,Y154,X155,"f",FALSE)</f>
        <v>#VALUE!</v>
      </c>
      <c r="Z155" s="114" t="e">
        <f>_xll.qlCalendarAdvance(Calendar,Y155,0&amp;"D")</f>
        <v>#VALUE!</v>
      </c>
      <c r="AA155" s="115" t="e">
        <f ca="1"/>
        <v>#N/A</v>
      </c>
      <c r="AB155" s="151"/>
    </row>
    <row r="156" spans="23:28" x14ac:dyDescent="0.2">
      <c r="W156" s="152"/>
      <c r="X156" s="119" t="str">
        <f t="shared" si="10"/>
        <v>1D</v>
      </c>
      <c r="Y156" s="112" t="e">
        <f>_xll.qlCalendarAdvance(Calendar,Y155,X156,"f",FALSE)</f>
        <v>#VALUE!</v>
      </c>
      <c r="Z156" s="114" t="e">
        <f>_xll.qlCalendarAdvance(Calendar,Y156,0&amp;"D")</f>
        <v>#VALUE!</v>
      </c>
      <c r="AA156" s="115" t="e">
        <f ca="1"/>
        <v>#N/A</v>
      </c>
      <c r="AB156" s="151"/>
    </row>
    <row r="157" spans="23:28" x14ac:dyDescent="0.2">
      <c r="W157" s="152"/>
      <c r="X157" s="119" t="str">
        <f t="shared" si="10"/>
        <v>1D</v>
      </c>
      <c r="Y157" s="112" t="e">
        <f>_xll.qlCalendarAdvance(Calendar,Y156,X157,"f",FALSE)</f>
        <v>#VALUE!</v>
      </c>
      <c r="Z157" s="114" t="e">
        <f>_xll.qlCalendarAdvance(Calendar,Y157,0&amp;"D")</f>
        <v>#VALUE!</v>
      </c>
      <c r="AA157" s="115" t="e">
        <f ca="1"/>
        <v>#N/A</v>
      </c>
      <c r="AB157" s="151"/>
    </row>
    <row r="158" spans="23:28" x14ac:dyDescent="0.2">
      <c r="W158" s="152"/>
      <c r="X158" s="119" t="str">
        <f t="shared" si="10"/>
        <v>1D</v>
      </c>
      <c r="Y158" s="112" t="e">
        <f>_xll.qlCalendarAdvance(Calendar,Y157,X158,"f",FALSE)</f>
        <v>#VALUE!</v>
      </c>
      <c r="Z158" s="114" t="e">
        <f>_xll.qlCalendarAdvance(Calendar,Y158,0&amp;"D")</f>
        <v>#VALUE!</v>
      </c>
      <c r="AA158" s="115" t="e">
        <f ca="1"/>
        <v>#N/A</v>
      </c>
      <c r="AB158" s="151"/>
    </row>
    <row r="159" spans="23:28" x14ac:dyDescent="0.2">
      <c r="W159" s="152"/>
      <c r="X159" s="119" t="str">
        <f t="shared" si="10"/>
        <v>1D</v>
      </c>
      <c r="Y159" s="112" t="e">
        <f>_xll.qlCalendarAdvance(Calendar,Y158,X159,"f",FALSE)</f>
        <v>#VALUE!</v>
      </c>
      <c r="Z159" s="114" t="e">
        <f>_xll.qlCalendarAdvance(Calendar,Y159,0&amp;"D")</f>
        <v>#VALUE!</v>
      </c>
      <c r="AA159" s="115" t="e">
        <f ca="1"/>
        <v>#N/A</v>
      </c>
      <c r="AB159" s="151"/>
    </row>
    <row r="160" spans="23:28" x14ac:dyDescent="0.2">
      <c r="W160" s="152"/>
      <c r="X160" s="119" t="str">
        <f t="shared" si="10"/>
        <v>1D</v>
      </c>
      <c r="Y160" s="112" t="e">
        <f>_xll.qlCalendarAdvance(Calendar,Y159,X160,"f",FALSE)</f>
        <v>#VALUE!</v>
      </c>
      <c r="Z160" s="114" t="e">
        <f>_xll.qlCalendarAdvance(Calendar,Y160,0&amp;"D")</f>
        <v>#VALUE!</v>
      </c>
      <c r="AA160" s="115" t="e">
        <f ca="1"/>
        <v>#N/A</v>
      </c>
      <c r="AB160" s="151"/>
    </row>
    <row r="161" spans="23:28" x14ac:dyDescent="0.2">
      <c r="W161" s="152"/>
      <c r="X161" s="119" t="str">
        <f t="shared" si="10"/>
        <v>1D</v>
      </c>
      <c r="Y161" s="112" t="e">
        <f>_xll.qlCalendarAdvance(Calendar,Y160,X161,"f",FALSE)</f>
        <v>#VALUE!</v>
      </c>
      <c r="Z161" s="114" t="e">
        <f>_xll.qlCalendarAdvance(Calendar,Y161,0&amp;"D")</f>
        <v>#VALUE!</v>
      </c>
      <c r="AA161" s="115" t="e">
        <f ca="1"/>
        <v>#N/A</v>
      </c>
      <c r="AB161" s="151"/>
    </row>
    <row r="162" spans="23:28" x14ac:dyDescent="0.2">
      <c r="W162" s="152"/>
      <c r="X162" s="119" t="str">
        <f t="shared" si="10"/>
        <v>1D</v>
      </c>
      <c r="Y162" s="112" t="e">
        <f>_xll.qlCalendarAdvance(Calendar,Y161,X162,"f",FALSE)</f>
        <v>#VALUE!</v>
      </c>
      <c r="Z162" s="114" t="e">
        <f>_xll.qlCalendarAdvance(Calendar,Y162,0&amp;"D")</f>
        <v>#VALUE!</v>
      </c>
      <c r="AA162" s="115" t="e">
        <f ca="1"/>
        <v>#N/A</v>
      </c>
      <c r="AB162" s="151"/>
    </row>
    <row r="163" spans="23:28" x14ac:dyDescent="0.2">
      <c r="W163" s="152"/>
      <c r="X163" s="119" t="str">
        <f t="shared" si="10"/>
        <v>1D</v>
      </c>
      <c r="Y163" s="112" t="e">
        <f>_xll.qlCalendarAdvance(Calendar,Y162,X163,"f",FALSE)</f>
        <v>#VALUE!</v>
      </c>
      <c r="Z163" s="114" t="e">
        <f>_xll.qlCalendarAdvance(Calendar,Y163,0&amp;"D")</f>
        <v>#VALUE!</v>
      </c>
      <c r="AA163" s="115" t="e">
        <f ca="1"/>
        <v>#N/A</v>
      </c>
      <c r="AB163" s="151"/>
    </row>
    <row r="164" spans="23:28" x14ac:dyDescent="0.2">
      <c r="W164" s="152"/>
      <c r="X164" s="119" t="str">
        <f t="shared" si="10"/>
        <v>1D</v>
      </c>
      <c r="Y164" s="112" t="e">
        <f>_xll.qlCalendarAdvance(Calendar,Y163,X164,"f",FALSE)</f>
        <v>#VALUE!</v>
      </c>
      <c r="Z164" s="114" t="e">
        <f>_xll.qlCalendarAdvance(Calendar,Y164,0&amp;"D")</f>
        <v>#VALUE!</v>
      </c>
      <c r="AA164" s="115" t="e">
        <f ca="1"/>
        <v>#N/A</v>
      </c>
      <c r="AB164" s="151"/>
    </row>
    <row r="165" spans="23:28" x14ac:dyDescent="0.2">
      <c r="W165" s="152"/>
      <c r="X165" s="119" t="str">
        <f t="shared" si="10"/>
        <v>1D</v>
      </c>
      <c r="Y165" s="112" t="e">
        <f>_xll.qlCalendarAdvance(Calendar,Y164,X165,"f",FALSE)</f>
        <v>#VALUE!</v>
      </c>
      <c r="Z165" s="114" t="e">
        <f>_xll.qlCalendarAdvance(Calendar,Y165,0&amp;"D")</f>
        <v>#VALUE!</v>
      </c>
      <c r="AA165" s="115" t="e">
        <f ca="1"/>
        <v>#N/A</v>
      </c>
      <c r="AB165" s="151"/>
    </row>
    <row r="166" spans="23:28" x14ac:dyDescent="0.2">
      <c r="W166" s="152"/>
      <c r="X166" s="119" t="str">
        <f t="shared" si="10"/>
        <v>1D</v>
      </c>
      <c r="Y166" s="112" t="e">
        <f>_xll.qlCalendarAdvance(Calendar,Y165,X166,"f",FALSE)</f>
        <v>#VALUE!</v>
      </c>
      <c r="Z166" s="114" t="e">
        <f>_xll.qlCalendarAdvance(Calendar,Y166,0&amp;"D")</f>
        <v>#VALUE!</v>
      </c>
      <c r="AA166" s="115" t="e">
        <f ca="1"/>
        <v>#N/A</v>
      </c>
      <c r="AB166" s="151"/>
    </row>
    <row r="167" spans="23:28" x14ac:dyDescent="0.2">
      <c r="W167" s="152"/>
      <c r="X167" s="119" t="str">
        <f t="shared" si="10"/>
        <v>1D</v>
      </c>
      <c r="Y167" s="112" t="e">
        <f>_xll.qlCalendarAdvance(Calendar,Y166,X167,"f",FALSE)</f>
        <v>#VALUE!</v>
      </c>
      <c r="Z167" s="114" t="e">
        <f>_xll.qlCalendarAdvance(Calendar,Y167,0&amp;"D")</f>
        <v>#VALUE!</v>
      </c>
      <c r="AA167" s="115" t="e">
        <f ca="1"/>
        <v>#N/A</v>
      </c>
      <c r="AB167" s="151"/>
    </row>
    <row r="168" spans="23:28" x14ac:dyDescent="0.2">
      <c r="W168" s="152"/>
      <c r="X168" s="119" t="str">
        <f t="shared" si="10"/>
        <v>1D</v>
      </c>
      <c r="Y168" s="112" t="e">
        <f>_xll.qlCalendarAdvance(Calendar,Y167,X168,"f",FALSE)</f>
        <v>#VALUE!</v>
      </c>
      <c r="Z168" s="114" t="e">
        <f>_xll.qlCalendarAdvance(Calendar,Y168,0&amp;"D")</f>
        <v>#VALUE!</v>
      </c>
      <c r="AA168" s="115" t="e">
        <f ca="1"/>
        <v>#N/A</v>
      </c>
      <c r="AB168" s="151"/>
    </row>
    <row r="169" spans="23:28" x14ac:dyDescent="0.2">
      <c r="W169" s="152"/>
      <c r="X169" s="119" t="str">
        <f t="shared" si="10"/>
        <v>1D</v>
      </c>
      <c r="Y169" s="112" t="e">
        <f>_xll.qlCalendarAdvance(Calendar,Y168,X169,"f",FALSE)</f>
        <v>#VALUE!</v>
      </c>
      <c r="Z169" s="114" t="e">
        <f>_xll.qlCalendarAdvance(Calendar,Y169,0&amp;"D")</f>
        <v>#VALUE!</v>
      </c>
      <c r="AA169" s="115" t="e">
        <f ca="1"/>
        <v>#N/A</v>
      </c>
      <c r="AB169" s="151"/>
    </row>
    <row r="170" spans="23:28" x14ac:dyDescent="0.2">
      <c r="W170" s="152"/>
      <c r="X170" s="119" t="str">
        <f t="shared" si="10"/>
        <v>1D</v>
      </c>
      <c r="Y170" s="112" t="e">
        <f>_xll.qlCalendarAdvance(Calendar,Y169,X170,"f",FALSE)</f>
        <v>#VALUE!</v>
      </c>
      <c r="Z170" s="114" t="e">
        <f>_xll.qlCalendarAdvance(Calendar,Y170,0&amp;"D")</f>
        <v>#VALUE!</v>
      </c>
      <c r="AA170" s="115" t="e">
        <f ca="1"/>
        <v>#N/A</v>
      </c>
      <c r="AB170" s="151"/>
    </row>
    <row r="171" spans="23:28" x14ac:dyDescent="0.2">
      <c r="W171" s="152"/>
      <c r="X171" s="119" t="str">
        <f t="shared" si="10"/>
        <v>1D</v>
      </c>
      <c r="Y171" s="112" t="e">
        <f>_xll.qlCalendarAdvance(Calendar,Y170,X171,"f",FALSE)</f>
        <v>#VALUE!</v>
      </c>
      <c r="Z171" s="114" t="e">
        <f>_xll.qlCalendarAdvance(Calendar,Y171,0&amp;"D")</f>
        <v>#VALUE!</v>
      </c>
      <c r="AA171" s="115" t="e">
        <f ca="1"/>
        <v>#N/A</v>
      </c>
      <c r="AB171" s="151"/>
    </row>
    <row r="172" spans="23:28" x14ac:dyDescent="0.2">
      <c r="W172" s="152"/>
      <c r="X172" s="119" t="str">
        <f t="shared" si="10"/>
        <v>1D</v>
      </c>
      <c r="Y172" s="112" t="e">
        <f>_xll.qlCalendarAdvance(Calendar,Y171,X172,"f",FALSE)</f>
        <v>#VALUE!</v>
      </c>
      <c r="Z172" s="114" t="e">
        <f>_xll.qlCalendarAdvance(Calendar,Y172,0&amp;"D")</f>
        <v>#VALUE!</v>
      </c>
      <c r="AA172" s="115" t="e">
        <f ca="1"/>
        <v>#N/A</v>
      </c>
      <c r="AB172" s="151"/>
    </row>
    <row r="173" spans="23:28" x14ac:dyDescent="0.2">
      <c r="W173" s="152"/>
      <c r="X173" s="119" t="str">
        <f t="shared" si="10"/>
        <v>1D</v>
      </c>
      <c r="Y173" s="112" t="e">
        <f>_xll.qlCalendarAdvance(Calendar,Y172,X173,"f",FALSE)</f>
        <v>#VALUE!</v>
      </c>
      <c r="Z173" s="114" t="e">
        <f>_xll.qlCalendarAdvance(Calendar,Y173,0&amp;"D")</f>
        <v>#VALUE!</v>
      </c>
      <c r="AA173" s="115" t="e">
        <f ca="1"/>
        <v>#N/A</v>
      </c>
      <c r="AB173" s="151"/>
    </row>
    <row r="174" spans="23:28" x14ac:dyDescent="0.2">
      <c r="W174" s="152"/>
      <c r="X174" s="119" t="str">
        <f t="shared" si="10"/>
        <v>1D</v>
      </c>
      <c r="Y174" s="112" t="e">
        <f>_xll.qlCalendarAdvance(Calendar,Y173,X174,"f",FALSE)</f>
        <v>#VALUE!</v>
      </c>
      <c r="Z174" s="114" t="e">
        <f>_xll.qlCalendarAdvance(Calendar,Y174,0&amp;"D")</f>
        <v>#VALUE!</v>
      </c>
      <c r="AA174" s="115" t="e">
        <f ca="1"/>
        <v>#N/A</v>
      </c>
      <c r="AB174" s="151"/>
    </row>
    <row r="175" spans="23:28" x14ac:dyDescent="0.2">
      <c r="W175" s="152"/>
      <c r="X175" s="119" t="str">
        <f t="shared" si="10"/>
        <v>1D</v>
      </c>
      <c r="Y175" s="112" t="e">
        <f>_xll.qlCalendarAdvance(Calendar,Y174,X175,"f",FALSE)</f>
        <v>#VALUE!</v>
      </c>
      <c r="Z175" s="114" t="e">
        <f>_xll.qlCalendarAdvance(Calendar,Y175,0&amp;"D")</f>
        <v>#VALUE!</v>
      </c>
      <c r="AA175" s="115" t="e">
        <f ca="1"/>
        <v>#N/A</v>
      </c>
      <c r="AB175" s="151"/>
    </row>
    <row r="176" spans="23:28" x14ac:dyDescent="0.2">
      <c r="W176" s="152"/>
      <c r="X176" s="119" t="str">
        <f t="shared" si="10"/>
        <v>1D</v>
      </c>
      <c r="Y176" s="112" t="e">
        <f>_xll.qlCalendarAdvance(Calendar,Y175,X176,"f",FALSE)</f>
        <v>#VALUE!</v>
      </c>
      <c r="Z176" s="114" t="e">
        <f>_xll.qlCalendarAdvance(Calendar,Y176,0&amp;"D")</f>
        <v>#VALUE!</v>
      </c>
      <c r="AA176" s="115" t="e">
        <f ca="1"/>
        <v>#N/A</v>
      </c>
      <c r="AB176" s="151"/>
    </row>
    <row r="177" spans="23:28" x14ac:dyDescent="0.2">
      <c r="W177" s="152"/>
      <c r="X177" s="119" t="str">
        <f t="shared" si="10"/>
        <v>1D</v>
      </c>
      <c r="Y177" s="112" t="e">
        <f>_xll.qlCalendarAdvance(Calendar,Y176,X177,"f",FALSE)</f>
        <v>#VALUE!</v>
      </c>
      <c r="Z177" s="114" t="e">
        <f>_xll.qlCalendarAdvance(Calendar,Y177,0&amp;"D")</f>
        <v>#VALUE!</v>
      </c>
      <c r="AA177" s="115" t="e">
        <f ca="1"/>
        <v>#N/A</v>
      </c>
      <c r="AB177" s="151"/>
    </row>
    <row r="178" spans="23:28" x14ac:dyDescent="0.2">
      <c r="W178" s="152"/>
      <c r="X178" s="119" t="str">
        <f t="shared" si="10"/>
        <v>1D</v>
      </c>
      <c r="Y178" s="112" t="e">
        <f>_xll.qlCalendarAdvance(Calendar,Y177,X178,"f",FALSE)</f>
        <v>#VALUE!</v>
      </c>
      <c r="Z178" s="114" t="e">
        <f>_xll.qlCalendarAdvance(Calendar,Y178,0&amp;"D")</f>
        <v>#VALUE!</v>
      </c>
      <c r="AA178" s="115" t="e">
        <f ca="1"/>
        <v>#N/A</v>
      </c>
      <c r="AB178" s="151"/>
    </row>
    <row r="179" spans="23:28" x14ac:dyDescent="0.2">
      <c r="W179" s="152"/>
      <c r="X179" s="119" t="str">
        <f t="shared" si="10"/>
        <v>1D</v>
      </c>
      <c r="Y179" s="112" t="e">
        <f>_xll.qlCalendarAdvance(Calendar,Y178,X179,"f",FALSE)</f>
        <v>#VALUE!</v>
      </c>
      <c r="Z179" s="114" t="e">
        <f>_xll.qlCalendarAdvance(Calendar,Y179,0&amp;"D")</f>
        <v>#VALUE!</v>
      </c>
      <c r="AA179" s="115" t="e">
        <f ca="1"/>
        <v>#N/A</v>
      </c>
      <c r="AB179" s="151"/>
    </row>
    <row r="180" spans="23:28" x14ac:dyDescent="0.2">
      <c r="W180" s="152"/>
      <c r="X180" s="119" t="str">
        <f t="shared" si="10"/>
        <v>1D</v>
      </c>
      <c r="Y180" s="112" t="e">
        <f>_xll.qlCalendarAdvance(Calendar,Y179,X180,"f",FALSE)</f>
        <v>#VALUE!</v>
      </c>
      <c r="Z180" s="114" t="e">
        <f>_xll.qlCalendarAdvance(Calendar,Y180,0&amp;"D")</f>
        <v>#VALUE!</v>
      </c>
      <c r="AA180" s="115" t="e">
        <f ca="1"/>
        <v>#N/A</v>
      </c>
      <c r="AB180" s="151"/>
    </row>
    <row r="181" spans="23:28" x14ac:dyDescent="0.2">
      <c r="W181" s="152"/>
      <c r="X181" s="119" t="str">
        <f t="shared" si="10"/>
        <v>1D</v>
      </c>
      <c r="Y181" s="112" t="e">
        <f>_xll.qlCalendarAdvance(Calendar,Y180,X181,"f",FALSE)</f>
        <v>#VALUE!</v>
      </c>
      <c r="Z181" s="114" t="e">
        <f>_xll.qlCalendarAdvance(Calendar,Y181,0&amp;"D")</f>
        <v>#VALUE!</v>
      </c>
      <c r="AA181" s="115" t="e">
        <f ca="1"/>
        <v>#N/A</v>
      </c>
      <c r="AB181" s="151"/>
    </row>
    <row r="182" spans="23:28" x14ac:dyDescent="0.2">
      <c r="W182" s="152"/>
      <c r="X182" s="119" t="str">
        <f t="shared" si="10"/>
        <v>1D</v>
      </c>
      <c r="Y182" s="112" t="e">
        <f>_xll.qlCalendarAdvance(Calendar,Y181,X182,"f",FALSE)</f>
        <v>#VALUE!</v>
      </c>
      <c r="Z182" s="114" t="e">
        <f>_xll.qlCalendarAdvance(Calendar,Y182,0&amp;"D")</f>
        <v>#VALUE!</v>
      </c>
      <c r="AA182" s="115" t="e">
        <f ca="1"/>
        <v>#N/A</v>
      </c>
      <c r="AB182" s="151"/>
    </row>
    <row r="183" spans="23:28" x14ac:dyDescent="0.2">
      <c r="W183" s="152"/>
      <c r="X183" s="119" t="str">
        <f t="shared" si="10"/>
        <v>1D</v>
      </c>
      <c r="Y183" s="112" t="e">
        <f>_xll.qlCalendarAdvance(Calendar,Y182,X183,"f",FALSE)</f>
        <v>#VALUE!</v>
      </c>
      <c r="Z183" s="114" t="e">
        <f>_xll.qlCalendarAdvance(Calendar,Y183,0&amp;"D")</f>
        <v>#VALUE!</v>
      </c>
      <c r="AA183" s="115" t="e">
        <f ca="1"/>
        <v>#N/A</v>
      </c>
      <c r="AB183" s="151"/>
    </row>
    <row r="184" spans="23:28" x14ac:dyDescent="0.2">
      <c r="W184" s="152"/>
      <c r="X184" s="119" t="str">
        <f t="shared" si="10"/>
        <v>1D</v>
      </c>
      <c r="Y184" s="112" t="e">
        <f>_xll.qlCalendarAdvance(Calendar,Y183,X184,"f",FALSE)</f>
        <v>#VALUE!</v>
      </c>
      <c r="Z184" s="114" t="e">
        <f>_xll.qlCalendarAdvance(Calendar,Y184,0&amp;"D")</f>
        <v>#VALUE!</v>
      </c>
      <c r="AA184" s="115" t="e">
        <f ca="1"/>
        <v>#N/A</v>
      </c>
      <c r="AB184" s="151"/>
    </row>
    <row r="185" spans="23:28" x14ac:dyDescent="0.2">
      <c r="W185" s="152"/>
      <c r="X185" s="119" t="str">
        <f t="shared" si="10"/>
        <v>1D</v>
      </c>
      <c r="Y185" s="112" t="e">
        <f>_xll.qlCalendarAdvance(Calendar,Y184,X185,"f",FALSE)</f>
        <v>#VALUE!</v>
      </c>
      <c r="Z185" s="114" t="e">
        <f>_xll.qlCalendarAdvance(Calendar,Y185,0&amp;"D")</f>
        <v>#VALUE!</v>
      </c>
      <c r="AA185" s="115" t="e">
        <f ca="1"/>
        <v>#N/A</v>
      </c>
      <c r="AB185" s="151"/>
    </row>
    <row r="186" spans="23:28" x14ac:dyDescent="0.2">
      <c r="W186" s="152"/>
      <c r="X186" s="119" t="str">
        <f t="shared" si="10"/>
        <v>1D</v>
      </c>
      <c r="Y186" s="112" t="e">
        <f>_xll.qlCalendarAdvance(Calendar,Y185,X186,"f",FALSE)</f>
        <v>#VALUE!</v>
      </c>
      <c r="Z186" s="114" t="e">
        <f>_xll.qlCalendarAdvance(Calendar,Y186,0&amp;"D")</f>
        <v>#VALUE!</v>
      </c>
      <c r="AA186" s="115" t="e">
        <f ca="1"/>
        <v>#N/A</v>
      </c>
      <c r="AB186" s="151"/>
    </row>
    <row r="187" spans="23:28" x14ac:dyDescent="0.2">
      <c r="W187" s="152"/>
      <c r="X187" s="119" t="str">
        <f t="shared" si="10"/>
        <v>1D</v>
      </c>
      <c r="Y187" s="112" t="e">
        <f>_xll.qlCalendarAdvance(Calendar,Y186,X187,"f",FALSE)</f>
        <v>#VALUE!</v>
      </c>
      <c r="Z187" s="114" t="e">
        <f>_xll.qlCalendarAdvance(Calendar,Y187,0&amp;"D")</f>
        <v>#VALUE!</v>
      </c>
      <c r="AA187" s="115" t="e">
        <f ca="1"/>
        <v>#N/A</v>
      </c>
      <c r="AB187" s="151"/>
    </row>
    <row r="188" spans="23:28" x14ac:dyDescent="0.2">
      <c r="W188" s="152"/>
      <c r="X188" s="119" t="str">
        <f t="shared" si="10"/>
        <v>1D</v>
      </c>
      <c r="Y188" s="112" t="e">
        <f>_xll.qlCalendarAdvance(Calendar,Y187,X188,"f",FALSE)</f>
        <v>#VALUE!</v>
      </c>
      <c r="Z188" s="114" t="e">
        <f>_xll.qlCalendarAdvance(Calendar,Y188,0&amp;"D")</f>
        <v>#VALUE!</v>
      </c>
      <c r="AA188" s="115" t="e">
        <f ca="1"/>
        <v>#N/A</v>
      </c>
      <c r="AB188" s="151"/>
    </row>
    <row r="189" spans="23:28" x14ac:dyDescent="0.2">
      <c r="W189" s="152"/>
      <c r="X189" s="119" t="str">
        <f t="shared" si="10"/>
        <v>1D</v>
      </c>
      <c r="Y189" s="112" t="e">
        <f>_xll.qlCalendarAdvance(Calendar,Y188,X189,"f",FALSE)</f>
        <v>#VALUE!</v>
      </c>
      <c r="Z189" s="114" t="e">
        <f>_xll.qlCalendarAdvance(Calendar,Y189,0&amp;"D")</f>
        <v>#VALUE!</v>
      </c>
      <c r="AA189" s="115" t="e">
        <f ca="1"/>
        <v>#N/A</v>
      </c>
      <c r="AB189" s="151"/>
    </row>
    <row r="190" spans="23:28" x14ac:dyDescent="0.2">
      <c r="W190" s="152"/>
      <c r="X190" s="119" t="str">
        <f t="shared" si="10"/>
        <v>1D</v>
      </c>
      <c r="Y190" s="112" t="e">
        <f>_xll.qlCalendarAdvance(Calendar,Y189,X190,"f",FALSE)</f>
        <v>#VALUE!</v>
      </c>
      <c r="Z190" s="114" t="e">
        <f>_xll.qlCalendarAdvance(Calendar,Y190,0&amp;"D")</f>
        <v>#VALUE!</v>
      </c>
      <c r="AA190" s="115" t="e">
        <f ca="1"/>
        <v>#N/A</v>
      </c>
      <c r="AB190" s="151"/>
    </row>
    <row r="191" spans="23:28" x14ac:dyDescent="0.2">
      <c r="W191" s="152"/>
      <c r="X191" s="119" t="str">
        <f t="shared" si="10"/>
        <v>1D</v>
      </c>
      <c r="Y191" s="112" t="e">
        <f>_xll.qlCalendarAdvance(Calendar,Y190,X191,"f",FALSE)</f>
        <v>#VALUE!</v>
      </c>
      <c r="Z191" s="114" t="e">
        <f>_xll.qlCalendarAdvance(Calendar,Y191,0&amp;"D")</f>
        <v>#VALUE!</v>
      </c>
      <c r="AA191" s="115" t="e">
        <f ca="1"/>
        <v>#N/A</v>
      </c>
      <c r="AB191" s="151"/>
    </row>
    <row r="192" spans="23:28" x14ac:dyDescent="0.2">
      <c r="W192" s="152"/>
      <c r="X192" s="119" t="str">
        <f t="shared" si="10"/>
        <v>1D</v>
      </c>
      <c r="Y192" s="112" t="e">
        <f>_xll.qlCalendarAdvance(Calendar,Y191,X192,"f",FALSE)</f>
        <v>#VALUE!</v>
      </c>
      <c r="Z192" s="114" t="e">
        <f>_xll.qlCalendarAdvance(Calendar,Y192,0&amp;"D")</f>
        <v>#VALUE!</v>
      </c>
      <c r="AA192" s="115" t="e">
        <f ca="1"/>
        <v>#N/A</v>
      </c>
      <c r="AB192" s="151"/>
    </row>
    <row r="193" spans="23:28" x14ac:dyDescent="0.2">
      <c r="W193" s="152"/>
      <c r="X193" s="119" t="str">
        <f t="shared" si="10"/>
        <v>1D</v>
      </c>
      <c r="Y193" s="112" t="e">
        <f>_xll.qlCalendarAdvance(Calendar,Y192,X193,"f",FALSE)</f>
        <v>#VALUE!</v>
      </c>
      <c r="Z193" s="114" t="e">
        <f>_xll.qlCalendarAdvance(Calendar,Y193,0&amp;"D")</f>
        <v>#VALUE!</v>
      </c>
      <c r="AA193" s="115" t="e">
        <f ca="1"/>
        <v>#N/A</v>
      </c>
      <c r="AB193" s="151"/>
    </row>
    <row r="194" spans="23:28" x14ac:dyDescent="0.2">
      <c r="W194" s="152"/>
      <c r="X194" s="119" t="str">
        <f t="shared" si="10"/>
        <v>1D</v>
      </c>
      <c r="Y194" s="112" t="e">
        <f>_xll.qlCalendarAdvance(Calendar,Y193,X194,"f",FALSE)</f>
        <v>#VALUE!</v>
      </c>
      <c r="Z194" s="114" t="e">
        <f>_xll.qlCalendarAdvance(Calendar,Y194,0&amp;"D")</f>
        <v>#VALUE!</v>
      </c>
      <c r="AA194" s="115" t="e">
        <f ca="1"/>
        <v>#N/A</v>
      </c>
      <c r="AB194" s="151"/>
    </row>
    <row r="195" spans="23:28" x14ac:dyDescent="0.2">
      <c r="W195" s="152"/>
      <c r="X195" s="119" t="str">
        <f t="shared" si="10"/>
        <v>1D</v>
      </c>
      <c r="Y195" s="112" t="e">
        <f>_xll.qlCalendarAdvance(Calendar,Y194,X195,"f",FALSE)</f>
        <v>#VALUE!</v>
      </c>
      <c r="Z195" s="114" t="e">
        <f>_xll.qlCalendarAdvance(Calendar,Y195,0&amp;"D")</f>
        <v>#VALUE!</v>
      </c>
      <c r="AA195" s="115" t="e">
        <f ca="1"/>
        <v>#N/A</v>
      </c>
      <c r="AB195" s="151"/>
    </row>
    <row r="196" spans="23:28" x14ac:dyDescent="0.2">
      <c r="W196" s="152"/>
      <c r="X196" s="119" t="str">
        <f t="shared" si="10"/>
        <v>1D</v>
      </c>
      <c r="Y196" s="112" t="e">
        <f>_xll.qlCalendarAdvance(Calendar,Y195,X196,"f",FALSE)</f>
        <v>#VALUE!</v>
      </c>
      <c r="Z196" s="114" t="e">
        <f>_xll.qlCalendarAdvance(Calendar,Y196,0&amp;"D")</f>
        <v>#VALUE!</v>
      </c>
      <c r="AA196" s="115" t="e">
        <f ca="1"/>
        <v>#N/A</v>
      </c>
      <c r="AB196" s="151"/>
    </row>
    <row r="197" spans="23:28" x14ac:dyDescent="0.2">
      <c r="W197" s="152"/>
      <c r="X197" s="119" t="str">
        <f t="shared" si="10"/>
        <v>1D</v>
      </c>
      <c r="Y197" s="112" t="e">
        <f>_xll.qlCalendarAdvance(Calendar,Y196,X197,"f",FALSE)</f>
        <v>#VALUE!</v>
      </c>
      <c r="Z197" s="114" t="e">
        <f>_xll.qlCalendarAdvance(Calendar,Y197,0&amp;"D")</f>
        <v>#VALUE!</v>
      </c>
      <c r="AA197" s="115" t="e">
        <f ca="1"/>
        <v>#N/A</v>
      </c>
      <c r="AB197" s="151"/>
    </row>
    <row r="198" spans="23:28" x14ac:dyDescent="0.2">
      <c r="W198" s="152"/>
      <c r="X198" s="119" t="str">
        <f t="shared" si="10"/>
        <v>1D</v>
      </c>
      <c r="Y198" s="112" t="e">
        <f>_xll.qlCalendarAdvance(Calendar,Y197,X198,"f",FALSE)</f>
        <v>#VALUE!</v>
      </c>
      <c r="Z198" s="114" t="e">
        <f>_xll.qlCalendarAdvance(Calendar,Y198,0&amp;"D")</f>
        <v>#VALUE!</v>
      </c>
      <c r="AA198" s="115" t="e">
        <f ca="1"/>
        <v>#N/A</v>
      </c>
      <c r="AB198" s="151"/>
    </row>
    <row r="199" spans="23:28" x14ac:dyDescent="0.2">
      <c r="W199" s="152"/>
      <c r="X199" s="119" t="str">
        <f t="shared" si="10"/>
        <v>1D</v>
      </c>
      <c r="Y199" s="112" t="e">
        <f>_xll.qlCalendarAdvance(Calendar,Y198,X199,"f",FALSE)</f>
        <v>#VALUE!</v>
      </c>
      <c r="Z199" s="114" t="e">
        <f>_xll.qlCalendarAdvance(Calendar,Y199,0&amp;"D")</f>
        <v>#VALUE!</v>
      </c>
      <c r="AA199" s="115" t="e">
        <f ca="1"/>
        <v>#N/A</v>
      </c>
      <c r="AB199" s="151"/>
    </row>
    <row r="200" spans="23:28" x14ac:dyDescent="0.2">
      <c r="W200" s="152"/>
      <c r="X200" s="119" t="str">
        <f t="shared" si="10"/>
        <v>1D</v>
      </c>
      <c r="Y200" s="112" t="e">
        <f>_xll.qlCalendarAdvance(Calendar,Y199,X200,"f",FALSE)</f>
        <v>#VALUE!</v>
      </c>
      <c r="Z200" s="114" t="e">
        <f>_xll.qlCalendarAdvance(Calendar,Y200,0&amp;"D")</f>
        <v>#VALUE!</v>
      </c>
      <c r="AA200" s="115" t="e">
        <f ca="1"/>
        <v>#N/A</v>
      </c>
      <c r="AB200" s="151"/>
    </row>
    <row r="201" spans="23:28" x14ac:dyDescent="0.2">
      <c r="W201" s="152"/>
      <c r="X201" s="119" t="str">
        <f t="shared" si="10"/>
        <v>1D</v>
      </c>
      <c r="Y201" s="112" t="e">
        <f>_xll.qlCalendarAdvance(Calendar,Y200,X201,"f",FALSE)</f>
        <v>#VALUE!</v>
      </c>
      <c r="Z201" s="114" t="e">
        <f>_xll.qlCalendarAdvance(Calendar,Y201,0&amp;"D")</f>
        <v>#VALUE!</v>
      </c>
      <c r="AA201" s="115" t="e">
        <f ca="1"/>
        <v>#N/A</v>
      </c>
      <c r="AB201" s="151"/>
    </row>
    <row r="202" spans="23:28" x14ac:dyDescent="0.2">
      <c r="W202" s="152"/>
      <c r="X202" s="119" t="str">
        <f t="shared" si="10"/>
        <v>1D</v>
      </c>
      <c r="Y202" s="112" t="e">
        <f>_xll.qlCalendarAdvance(Calendar,Y201,X202,"f",FALSE)</f>
        <v>#VALUE!</v>
      </c>
      <c r="Z202" s="114" t="e">
        <f>_xll.qlCalendarAdvance(Calendar,Y202,0&amp;"D")</f>
        <v>#VALUE!</v>
      </c>
      <c r="AA202" s="115" t="e">
        <f ca="1"/>
        <v>#N/A</v>
      </c>
      <c r="AB202" s="151"/>
    </row>
    <row r="203" spans="23:28" x14ac:dyDescent="0.2">
      <c r="W203" s="152"/>
      <c r="X203" s="119" t="str">
        <f t="shared" si="10"/>
        <v>1D</v>
      </c>
      <c r="Y203" s="112" t="e">
        <f>_xll.qlCalendarAdvance(Calendar,Y202,X203,"f",FALSE)</f>
        <v>#VALUE!</v>
      </c>
      <c r="Z203" s="114" t="e">
        <f>_xll.qlCalendarAdvance(Calendar,Y203,0&amp;"D")</f>
        <v>#VALUE!</v>
      </c>
      <c r="AA203" s="115" t="e">
        <f ca="1"/>
        <v>#N/A</v>
      </c>
      <c r="AB203" s="151"/>
    </row>
    <row r="204" spans="23:28" x14ac:dyDescent="0.2">
      <c r="W204" s="152"/>
      <c r="X204" s="119" t="str">
        <f t="shared" si="10"/>
        <v>1D</v>
      </c>
      <c r="Y204" s="112" t="e">
        <f>_xll.qlCalendarAdvance(Calendar,Y203,X204,"f",FALSE)</f>
        <v>#VALUE!</v>
      </c>
      <c r="Z204" s="114" t="e">
        <f>_xll.qlCalendarAdvance(Calendar,Y204,0&amp;"D")</f>
        <v>#VALUE!</v>
      </c>
      <c r="AA204" s="115" t="e">
        <f ca="1"/>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f ca="1"/>
        <v>#N/A</v>
      </c>
      <c r="AB205" s="151"/>
    </row>
    <row r="206" spans="23:28" x14ac:dyDescent="0.2">
      <c r="W206" s="152"/>
      <c r="X206" s="119" t="str">
        <f t="shared" si="11"/>
        <v>1D</v>
      </c>
      <c r="Y206" s="112" t="e">
        <f>_xll.qlCalendarAdvance(Calendar,Y205,X206,"f",FALSE)</f>
        <v>#VALUE!</v>
      </c>
      <c r="Z206" s="114" t="e">
        <f>_xll.qlCalendarAdvance(Calendar,Y206,0&amp;"D")</f>
        <v>#VALUE!</v>
      </c>
      <c r="AA206" s="115" t="e">
        <f ca="1"/>
        <v>#N/A</v>
      </c>
      <c r="AB206" s="151"/>
    </row>
    <row r="207" spans="23:28" x14ac:dyDescent="0.2">
      <c r="W207" s="152"/>
      <c r="X207" s="119" t="str">
        <f t="shared" si="11"/>
        <v>1D</v>
      </c>
      <c r="Y207" s="112" t="e">
        <f>_xll.qlCalendarAdvance(Calendar,Y206,X207,"f",FALSE)</f>
        <v>#VALUE!</v>
      </c>
      <c r="Z207" s="114" t="e">
        <f>_xll.qlCalendarAdvance(Calendar,Y207,0&amp;"D")</f>
        <v>#VALUE!</v>
      </c>
      <c r="AA207" s="115" t="e">
        <f ca="1"/>
        <v>#N/A</v>
      </c>
      <c r="AB207" s="151"/>
    </row>
    <row r="208" spans="23:28" x14ac:dyDescent="0.2">
      <c r="W208" s="152"/>
      <c r="X208" s="119" t="str">
        <f t="shared" si="11"/>
        <v>1D</v>
      </c>
      <c r="Y208" s="112" t="e">
        <f>_xll.qlCalendarAdvance(Calendar,Y207,X208,"f",FALSE)</f>
        <v>#VALUE!</v>
      </c>
      <c r="Z208" s="114" t="e">
        <f>_xll.qlCalendarAdvance(Calendar,Y208,0&amp;"D")</f>
        <v>#VALUE!</v>
      </c>
      <c r="AA208" s="115" t="e">
        <f ca="1"/>
        <v>#N/A</v>
      </c>
      <c r="AB208" s="151"/>
    </row>
    <row r="209" spans="23:28" x14ac:dyDescent="0.2">
      <c r="W209" s="152"/>
      <c r="X209" s="119" t="str">
        <f t="shared" si="11"/>
        <v>1D</v>
      </c>
      <c r="Y209" s="112" t="e">
        <f>_xll.qlCalendarAdvance(Calendar,Y208,X209,"f",FALSE)</f>
        <v>#VALUE!</v>
      </c>
      <c r="Z209" s="114" t="e">
        <f>_xll.qlCalendarAdvance(Calendar,Y209,0&amp;"D")</f>
        <v>#VALUE!</v>
      </c>
      <c r="AA209" s="115" t="e">
        <f ca="1"/>
        <v>#N/A</v>
      </c>
      <c r="AB209" s="151"/>
    </row>
    <row r="210" spans="23:28" x14ac:dyDescent="0.2">
      <c r="W210" s="152"/>
      <c r="X210" s="119" t="str">
        <f t="shared" si="11"/>
        <v>1D</v>
      </c>
      <c r="Y210" s="112" t="e">
        <f>_xll.qlCalendarAdvance(Calendar,Y209,X210,"f",FALSE)</f>
        <v>#VALUE!</v>
      </c>
      <c r="Z210" s="114" t="e">
        <f>_xll.qlCalendarAdvance(Calendar,Y210,0&amp;"D")</f>
        <v>#VALUE!</v>
      </c>
      <c r="AA210" s="115" t="e">
        <f ca="1"/>
        <v>#N/A</v>
      </c>
      <c r="AB210" s="151"/>
    </row>
    <row r="211" spans="23:28" x14ac:dyDescent="0.2">
      <c r="W211" s="152"/>
      <c r="X211" s="119" t="str">
        <f t="shared" si="11"/>
        <v>1D</v>
      </c>
      <c r="Y211" s="112" t="e">
        <f>_xll.qlCalendarAdvance(Calendar,Y210,X211,"f",FALSE)</f>
        <v>#VALUE!</v>
      </c>
      <c r="Z211" s="114" t="e">
        <f>_xll.qlCalendarAdvance(Calendar,Y211,0&amp;"D")</f>
        <v>#VALUE!</v>
      </c>
      <c r="AA211" s="115" t="e">
        <f ca="1"/>
        <v>#N/A</v>
      </c>
      <c r="AB211" s="151"/>
    </row>
    <row r="212" spans="23:28" x14ac:dyDescent="0.2">
      <c r="W212" s="152"/>
      <c r="X212" s="119" t="str">
        <f t="shared" si="11"/>
        <v>1D</v>
      </c>
      <c r="Y212" s="112" t="e">
        <f>_xll.qlCalendarAdvance(Calendar,Y211,X212,"f",FALSE)</f>
        <v>#VALUE!</v>
      </c>
      <c r="Z212" s="114" t="e">
        <f>_xll.qlCalendarAdvance(Calendar,Y212,0&amp;"D")</f>
        <v>#VALUE!</v>
      </c>
      <c r="AA212" s="115" t="e">
        <f ca="1"/>
        <v>#N/A</v>
      </c>
      <c r="AB212" s="151"/>
    </row>
    <row r="213" spans="23:28" x14ac:dyDescent="0.2">
      <c r="W213" s="152"/>
      <c r="X213" s="119" t="str">
        <f t="shared" si="11"/>
        <v>1D</v>
      </c>
      <c r="Y213" s="112" t="e">
        <f>_xll.qlCalendarAdvance(Calendar,Y212,X213,"f",FALSE)</f>
        <v>#VALUE!</v>
      </c>
      <c r="Z213" s="114" t="e">
        <f>_xll.qlCalendarAdvance(Calendar,Y213,0&amp;"D")</f>
        <v>#VALUE!</v>
      </c>
      <c r="AA213" s="115" t="e">
        <f ca="1"/>
        <v>#N/A</v>
      </c>
      <c r="AB213" s="151"/>
    </row>
    <row r="214" spans="23:28" x14ac:dyDescent="0.2">
      <c r="W214" s="152"/>
      <c r="X214" s="119" t="str">
        <f t="shared" si="11"/>
        <v>1D</v>
      </c>
      <c r="Y214" s="112" t="e">
        <f>_xll.qlCalendarAdvance(Calendar,Y213,X214,"f",FALSE)</f>
        <v>#VALUE!</v>
      </c>
      <c r="Z214" s="114" t="e">
        <f>_xll.qlCalendarAdvance(Calendar,Y214,0&amp;"D")</f>
        <v>#VALUE!</v>
      </c>
      <c r="AA214" s="115" t="e">
        <f ca="1"/>
        <v>#N/A</v>
      </c>
      <c r="AB214" s="151"/>
    </row>
    <row r="215" spans="23:28" x14ac:dyDescent="0.2">
      <c r="W215" s="152"/>
      <c r="X215" s="119" t="str">
        <f t="shared" si="11"/>
        <v>1D</v>
      </c>
      <c r="Y215" s="112" t="e">
        <f>_xll.qlCalendarAdvance(Calendar,Y214,X215,"f",FALSE)</f>
        <v>#VALUE!</v>
      </c>
      <c r="Z215" s="114" t="e">
        <f>_xll.qlCalendarAdvance(Calendar,Y215,0&amp;"D")</f>
        <v>#VALUE!</v>
      </c>
      <c r="AA215" s="115" t="e">
        <f ca="1"/>
        <v>#N/A</v>
      </c>
      <c r="AB215" s="151"/>
    </row>
    <row r="216" spans="23:28" x14ac:dyDescent="0.2">
      <c r="W216" s="152"/>
      <c r="X216" s="119" t="str">
        <f t="shared" si="11"/>
        <v>1D</v>
      </c>
      <c r="Y216" s="112" t="e">
        <f>_xll.qlCalendarAdvance(Calendar,Y215,X216,"f",FALSE)</f>
        <v>#VALUE!</v>
      </c>
      <c r="Z216" s="114" t="e">
        <f>_xll.qlCalendarAdvance(Calendar,Y216,0&amp;"D")</f>
        <v>#VALUE!</v>
      </c>
      <c r="AA216" s="115" t="e">
        <f ca="1"/>
        <v>#N/A</v>
      </c>
      <c r="AB216" s="151"/>
    </row>
    <row r="217" spans="23:28" x14ac:dyDescent="0.2">
      <c r="W217" s="152"/>
      <c r="X217" s="119" t="str">
        <f t="shared" si="11"/>
        <v>1D</v>
      </c>
      <c r="Y217" s="112" t="e">
        <f>_xll.qlCalendarAdvance(Calendar,Y216,X217,"f",FALSE)</f>
        <v>#VALUE!</v>
      </c>
      <c r="Z217" s="114" t="e">
        <f>_xll.qlCalendarAdvance(Calendar,Y217,0&amp;"D")</f>
        <v>#VALUE!</v>
      </c>
      <c r="AA217" s="115" t="e">
        <f ca="1"/>
        <v>#N/A</v>
      </c>
      <c r="AB217" s="151"/>
    </row>
    <row r="218" spans="23:28" x14ac:dyDescent="0.2">
      <c r="W218" s="152"/>
      <c r="X218" s="119" t="str">
        <f t="shared" si="11"/>
        <v>1D</v>
      </c>
      <c r="Y218" s="112" t="e">
        <f>_xll.qlCalendarAdvance(Calendar,Y217,X218,"f",FALSE)</f>
        <v>#VALUE!</v>
      </c>
      <c r="Z218" s="114" t="e">
        <f>_xll.qlCalendarAdvance(Calendar,Y218,0&amp;"D")</f>
        <v>#VALUE!</v>
      </c>
      <c r="AA218" s="115" t="e">
        <f ca="1"/>
        <v>#N/A</v>
      </c>
      <c r="AB218" s="151"/>
    </row>
    <row r="219" spans="23:28" x14ac:dyDescent="0.2">
      <c r="W219" s="152"/>
      <c r="X219" s="119" t="str">
        <f t="shared" si="11"/>
        <v>1D</v>
      </c>
      <c r="Y219" s="112" t="e">
        <f>_xll.qlCalendarAdvance(Calendar,Y218,X219,"f",FALSE)</f>
        <v>#VALUE!</v>
      </c>
      <c r="Z219" s="114" t="e">
        <f>_xll.qlCalendarAdvance(Calendar,Y219,0&amp;"D")</f>
        <v>#VALUE!</v>
      </c>
      <c r="AA219" s="115" t="e">
        <f ca="1"/>
        <v>#N/A</v>
      </c>
      <c r="AB219" s="151"/>
    </row>
    <row r="220" spans="23:28" x14ac:dyDescent="0.2">
      <c r="W220" s="152"/>
      <c r="X220" s="119" t="str">
        <f t="shared" si="11"/>
        <v>1D</v>
      </c>
      <c r="Y220" s="112" t="e">
        <f>_xll.qlCalendarAdvance(Calendar,Y219,X220,"f",FALSE)</f>
        <v>#VALUE!</v>
      </c>
      <c r="Z220" s="114" t="e">
        <f>_xll.qlCalendarAdvance(Calendar,Y220,0&amp;"D")</f>
        <v>#VALUE!</v>
      </c>
      <c r="AA220" s="115" t="e">
        <f ca="1"/>
        <v>#N/A</v>
      </c>
      <c r="AB220" s="151"/>
    </row>
    <row r="221" spans="23:28" x14ac:dyDescent="0.2">
      <c r="W221" s="152"/>
      <c r="X221" s="119" t="str">
        <f t="shared" si="11"/>
        <v>1D</v>
      </c>
      <c r="Y221" s="112" t="e">
        <f>_xll.qlCalendarAdvance(Calendar,Y220,X221,"f",FALSE)</f>
        <v>#VALUE!</v>
      </c>
      <c r="Z221" s="114" t="e">
        <f>_xll.qlCalendarAdvance(Calendar,Y221,0&amp;"D")</f>
        <v>#VALUE!</v>
      </c>
      <c r="AA221" s="115" t="e">
        <f ca="1"/>
        <v>#N/A</v>
      </c>
      <c r="AB221" s="151"/>
    </row>
    <row r="222" spans="23:28" x14ac:dyDescent="0.2">
      <c r="W222" s="152"/>
      <c r="X222" s="119" t="str">
        <f t="shared" si="11"/>
        <v>1D</v>
      </c>
      <c r="Y222" s="112" t="e">
        <f>_xll.qlCalendarAdvance(Calendar,Y221,X222,"f",FALSE)</f>
        <v>#VALUE!</v>
      </c>
      <c r="Z222" s="114" t="e">
        <f>_xll.qlCalendarAdvance(Calendar,Y222,0&amp;"D")</f>
        <v>#VALUE!</v>
      </c>
      <c r="AA222" s="115" t="e">
        <f ca="1"/>
        <v>#N/A</v>
      </c>
      <c r="AB222" s="151"/>
    </row>
    <row r="223" spans="23:28" x14ac:dyDescent="0.2">
      <c r="W223" s="152"/>
      <c r="X223" s="119" t="str">
        <f t="shared" si="11"/>
        <v>1D</v>
      </c>
      <c r="Y223" s="112" t="e">
        <f>_xll.qlCalendarAdvance(Calendar,Y222,X223,"f",FALSE)</f>
        <v>#VALUE!</v>
      </c>
      <c r="Z223" s="114" t="e">
        <f>_xll.qlCalendarAdvance(Calendar,Y223,0&amp;"D")</f>
        <v>#VALUE!</v>
      </c>
      <c r="AA223" s="115" t="e">
        <f ca="1"/>
        <v>#N/A</v>
      </c>
      <c r="AB223" s="151"/>
    </row>
    <row r="224" spans="23:28" x14ac:dyDescent="0.2">
      <c r="W224" s="152"/>
      <c r="X224" s="119" t="str">
        <f t="shared" si="11"/>
        <v>1D</v>
      </c>
      <c r="Y224" s="112" t="e">
        <f>_xll.qlCalendarAdvance(Calendar,Y223,X224,"f",FALSE)</f>
        <v>#VALUE!</v>
      </c>
      <c r="Z224" s="114" t="e">
        <f>_xll.qlCalendarAdvance(Calendar,Y224,0&amp;"D")</f>
        <v>#VALUE!</v>
      </c>
      <c r="AA224" s="115" t="e">
        <f ca="1"/>
        <v>#N/A</v>
      </c>
      <c r="AB224" s="151"/>
    </row>
    <row r="225" spans="23:28" x14ac:dyDescent="0.2">
      <c r="W225" s="152"/>
      <c r="X225" s="119" t="str">
        <f t="shared" si="11"/>
        <v>1D</v>
      </c>
      <c r="Y225" s="112" t="e">
        <f>_xll.qlCalendarAdvance(Calendar,Y224,X225,"f",FALSE)</f>
        <v>#VALUE!</v>
      </c>
      <c r="Z225" s="114" t="e">
        <f>_xll.qlCalendarAdvance(Calendar,Y225,0&amp;"D")</f>
        <v>#VALUE!</v>
      </c>
      <c r="AA225" s="115" t="e">
        <f ca="1"/>
        <v>#N/A</v>
      </c>
      <c r="AB225" s="151"/>
    </row>
    <row r="226" spans="23:28" x14ac:dyDescent="0.2">
      <c r="W226" s="152"/>
      <c r="X226" s="119" t="str">
        <f t="shared" si="11"/>
        <v>1D</v>
      </c>
      <c r="Y226" s="112" t="e">
        <f>_xll.qlCalendarAdvance(Calendar,Y225,X226,"f",FALSE)</f>
        <v>#VALUE!</v>
      </c>
      <c r="Z226" s="114" t="e">
        <f>_xll.qlCalendarAdvance(Calendar,Y226,0&amp;"D")</f>
        <v>#VALUE!</v>
      </c>
      <c r="AA226" s="115" t="e">
        <f ca="1"/>
        <v>#N/A</v>
      </c>
      <c r="AB226" s="151"/>
    </row>
    <row r="227" spans="23:28" x14ac:dyDescent="0.2">
      <c r="W227" s="152"/>
      <c r="X227" s="119" t="str">
        <f t="shared" si="11"/>
        <v>1D</v>
      </c>
      <c r="Y227" s="112" t="e">
        <f>_xll.qlCalendarAdvance(Calendar,Y226,X227,"f",FALSE)</f>
        <v>#VALUE!</v>
      </c>
      <c r="Z227" s="114" t="e">
        <f>_xll.qlCalendarAdvance(Calendar,Y227,0&amp;"D")</f>
        <v>#VALUE!</v>
      </c>
      <c r="AA227" s="115" t="e">
        <f ca="1"/>
        <v>#N/A</v>
      </c>
      <c r="AB227" s="151"/>
    </row>
    <row r="228" spans="23:28" x14ac:dyDescent="0.2">
      <c r="W228" s="152"/>
      <c r="X228" s="119" t="str">
        <f t="shared" si="11"/>
        <v>1D</v>
      </c>
      <c r="Y228" s="112" t="e">
        <f>_xll.qlCalendarAdvance(Calendar,Y227,X228,"f",FALSE)</f>
        <v>#VALUE!</v>
      </c>
      <c r="Z228" s="114" t="e">
        <f>_xll.qlCalendarAdvance(Calendar,Y228,0&amp;"D")</f>
        <v>#VALUE!</v>
      </c>
      <c r="AA228" s="115" t="e">
        <f ca="1"/>
        <v>#N/A</v>
      </c>
      <c r="AB228" s="151"/>
    </row>
    <row r="229" spans="23:28" x14ac:dyDescent="0.2">
      <c r="W229" s="152"/>
      <c r="X229" s="119" t="str">
        <f t="shared" si="11"/>
        <v>1D</v>
      </c>
      <c r="Y229" s="112" t="e">
        <f>_xll.qlCalendarAdvance(Calendar,Y228,X229,"f",FALSE)</f>
        <v>#VALUE!</v>
      </c>
      <c r="Z229" s="114" t="e">
        <f>_xll.qlCalendarAdvance(Calendar,Y229,0&amp;"D")</f>
        <v>#VALUE!</v>
      </c>
      <c r="AA229" s="115" t="e">
        <f ca="1"/>
        <v>#N/A</v>
      </c>
      <c r="AB229" s="151"/>
    </row>
    <row r="230" spans="23:28" x14ac:dyDescent="0.2">
      <c r="W230" s="152"/>
      <c r="X230" s="119" t="str">
        <f t="shared" si="11"/>
        <v>1D</v>
      </c>
      <c r="Y230" s="112" t="e">
        <f>_xll.qlCalendarAdvance(Calendar,Y229,X230,"f",FALSE)</f>
        <v>#VALUE!</v>
      </c>
      <c r="Z230" s="114" t="e">
        <f>_xll.qlCalendarAdvance(Calendar,Y230,0&amp;"D")</f>
        <v>#VALUE!</v>
      </c>
      <c r="AA230" s="115" t="e">
        <f ca="1"/>
        <v>#N/A</v>
      </c>
      <c r="AB230" s="151"/>
    </row>
    <row r="231" spans="23:28" x14ac:dyDescent="0.2">
      <c r="W231" s="152"/>
      <c r="X231" s="119" t="str">
        <f t="shared" si="11"/>
        <v>1D</v>
      </c>
      <c r="Y231" s="112" t="e">
        <f>_xll.qlCalendarAdvance(Calendar,Y230,X231,"f",FALSE)</f>
        <v>#VALUE!</v>
      </c>
      <c r="Z231" s="114" t="e">
        <f>_xll.qlCalendarAdvance(Calendar,Y231,0&amp;"D")</f>
        <v>#VALUE!</v>
      </c>
      <c r="AA231" s="115" t="e">
        <f ca="1"/>
        <v>#N/A</v>
      </c>
      <c r="AB231" s="151"/>
    </row>
    <row r="232" spans="23:28" x14ac:dyDescent="0.2">
      <c r="W232" s="152"/>
      <c r="X232" s="119" t="str">
        <f t="shared" si="11"/>
        <v>1D</v>
      </c>
      <c r="Y232" s="112" t="e">
        <f>_xll.qlCalendarAdvance(Calendar,Y231,X232,"f",FALSE)</f>
        <v>#VALUE!</v>
      </c>
      <c r="Z232" s="114" t="e">
        <f>_xll.qlCalendarAdvance(Calendar,Y232,0&amp;"D")</f>
        <v>#VALUE!</v>
      </c>
      <c r="AA232" s="115" t="e">
        <f ca="1"/>
        <v>#N/A</v>
      </c>
      <c r="AB232" s="151"/>
    </row>
    <row r="233" spans="23:28" x14ac:dyDescent="0.2">
      <c r="W233" s="152"/>
      <c r="X233" s="119" t="str">
        <f t="shared" si="11"/>
        <v>1D</v>
      </c>
      <c r="Y233" s="112" t="e">
        <f>_xll.qlCalendarAdvance(Calendar,Y232,X233,"f",FALSE)</f>
        <v>#VALUE!</v>
      </c>
      <c r="Z233" s="114" t="e">
        <f>_xll.qlCalendarAdvance(Calendar,Y233,0&amp;"D")</f>
        <v>#VALUE!</v>
      </c>
      <c r="AA233" s="115" t="e">
        <f ca="1"/>
        <v>#N/A</v>
      </c>
      <c r="AB233" s="151"/>
    </row>
    <row r="234" spans="23:28" x14ac:dyDescent="0.2">
      <c r="W234" s="152"/>
      <c r="X234" s="119" t="str">
        <f t="shared" si="11"/>
        <v>1D</v>
      </c>
      <c r="Y234" s="112" t="e">
        <f>_xll.qlCalendarAdvance(Calendar,Y233,X234,"f",FALSE)</f>
        <v>#VALUE!</v>
      </c>
      <c r="Z234" s="114" t="e">
        <f>_xll.qlCalendarAdvance(Calendar,Y234,0&amp;"D")</f>
        <v>#VALUE!</v>
      </c>
      <c r="AA234" s="115" t="e">
        <f ca="1"/>
        <v>#N/A</v>
      </c>
      <c r="AB234" s="151"/>
    </row>
    <row r="235" spans="23:28" x14ac:dyDescent="0.2">
      <c r="W235" s="152"/>
      <c r="X235" s="119" t="str">
        <f t="shared" si="11"/>
        <v>1D</v>
      </c>
      <c r="Y235" s="112" t="e">
        <f>_xll.qlCalendarAdvance(Calendar,Y234,X235,"f",FALSE)</f>
        <v>#VALUE!</v>
      </c>
      <c r="Z235" s="114" t="e">
        <f>_xll.qlCalendarAdvance(Calendar,Y235,0&amp;"D")</f>
        <v>#VALUE!</v>
      </c>
      <c r="AA235" s="115" t="e">
        <f ca="1"/>
        <v>#N/A</v>
      </c>
      <c r="AB235" s="151"/>
    </row>
    <row r="236" spans="23:28" x14ac:dyDescent="0.2">
      <c r="W236" s="152"/>
      <c r="X236" s="119" t="str">
        <f t="shared" si="11"/>
        <v>1D</v>
      </c>
      <c r="Y236" s="112" t="e">
        <f>_xll.qlCalendarAdvance(Calendar,Y235,X236,"f",FALSE)</f>
        <v>#VALUE!</v>
      </c>
      <c r="Z236" s="114" t="e">
        <f>_xll.qlCalendarAdvance(Calendar,Y236,0&amp;"D")</f>
        <v>#VALUE!</v>
      </c>
      <c r="AA236" s="115" t="e">
        <f ca="1"/>
        <v>#N/A</v>
      </c>
      <c r="AB236" s="151"/>
    </row>
    <row r="237" spans="23:28" x14ac:dyDescent="0.2">
      <c r="W237" s="152"/>
      <c r="X237" s="119" t="str">
        <f t="shared" si="11"/>
        <v>1D</v>
      </c>
      <c r="Y237" s="112" t="e">
        <f>_xll.qlCalendarAdvance(Calendar,Y236,X237,"f",FALSE)</f>
        <v>#VALUE!</v>
      </c>
      <c r="Z237" s="114" t="e">
        <f>_xll.qlCalendarAdvance(Calendar,Y237,0&amp;"D")</f>
        <v>#VALUE!</v>
      </c>
      <c r="AA237" s="115" t="e">
        <f ca="1"/>
        <v>#N/A</v>
      </c>
      <c r="AB237" s="151"/>
    </row>
    <row r="238" spans="23:28" x14ac:dyDescent="0.2">
      <c r="W238" s="152"/>
      <c r="X238" s="119" t="str">
        <f t="shared" si="11"/>
        <v>1D</v>
      </c>
      <c r="Y238" s="112" t="e">
        <f>_xll.qlCalendarAdvance(Calendar,Y237,X238,"f",FALSE)</f>
        <v>#VALUE!</v>
      </c>
      <c r="Z238" s="114" t="e">
        <f>_xll.qlCalendarAdvance(Calendar,Y238,0&amp;"D")</f>
        <v>#VALUE!</v>
      </c>
      <c r="AA238" s="115" t="e">
        <f ca="1"/>
        <v>#N/A</v>
      </c>
      <c r="AB238" s="151"/>
    </row>
    <row r="239" spans="23:28" x14ac:dyDescent="0.2">
      <c r="W239" s="152"/>
      <c r="X239" s="119" t="str">
        <f t="shared" si="11"/>
        <v>1D</v>
      </c>
      <c r="Y239" s="112" t="e">
        <f>_xll.qlCalendarAdvance(Calendar,Y238,X239,"f",FALSE)</f>
        <v>#VALUE!</v>
      </c>
      <c r="Z239" s="114" t="e">
        <f>_xll.qlCalendarAdvance(Calendar,Y239,0&amp;"D")</f>
        <v>#VALUE!</v>
      </c>
      <c r="AA239" s="115" t="e">
        <f ca="1"/>
        <v>#N/A</v>
      </c>
      <c r="AB239" s="151"/>
    </row>
    <row r="240" spans="23:28" x14ac:dyDescent="0.2">
      <c r="W240" s="152"/>
      <c r="X240" s="119" t="str">
        <f t="shared" si="11"/>
        <v>1D</v>
      </c>
      <c r="Y240" s="112" t="e">
        <f>_xll.qlCalendarAdvance(Calendar,Y239,X240,"f",FALSE)</f>
        <v>#VALUE!</v>
      </c>
      <c r="Z240" s="114" t="e">
        <f>_xll.qlCalendarAdvance(Calendar,Y240,0&amp;"D")</f>
        <v>#VALUE!</v>
      </c>
      <c r="AA240" s="115" t="e">
        <f ca="1"/>
        <v>#N/A</v>
      </c>
      <c r="AB240" s="151"/>
    </row>
    <row r="241" spans="23:28" x14ac:dyDescent="0.2">
      <c r="W241" s="152"/>
      <c r="X241" s="119" t="str">
        <f t="shared" si="11"/>
        <v>1D</v>
      </c>
      <c r="Y241" s="112" t="e">
        <f>_xll.qlCalendarAdvance(Calendar,Y240,X241,"f",FALSE)</f>
        <v>#VALUE!</v>
      </c>
      <c r="Z241" s="114" t="e">
        <f>_xll.qlCalendarAdvance(Calendar,Y241,0&amp;"D")</f>
        <v>#VALUE!</v>
      </c>
      <c r="AA241" s="115" t="e">
        <f ca="1"/>
        <v>#N/A</v>
      </c>
      <c r="AB241" s="151"/>
    </row>
    <row r="242" spans="23:28" x14ac:dyDescent="0.2">
      <c r="W242" s="152"/>
      <c r="X242" s="119" t="str">
        <f t="shared" si="11"/>
        <v>1D</v>
      </c>
      <c r="Y242" s="112" t="e">
        <f>_xll.qlCalendarAdvance(Calendar,Y241,X242,"f",FALSE)</f>
        <v>#VALUE!</v>
      </c>
      <c r="Z242" s="114" t="e">
        <f>_xll.qlCalendarAdvance(Calendar,Y242,0&amp;"D")</f>
        <v>#VALUE!</v>
      </c>
      <c r="AA242" s="115" t="e">
        <f ca="1"/>
        <v>#N/A</v>
      </c>
      <c r="AB242" s="151"/>
    </row>
    <row r="243" spans="23:28" x14ac:dyDescent="0.2">
      <c r="W243" s="152"/>
      <c r="X243" s="119" t="str">
        <f t="shared" si="11"/>
        <v>1D</v>
      </c>
      <c r="Y243" s="112" t="e">
        <f>_xll.qlCalendarAdvance(Calendar,Y242,X243,"f",FALSE)</f>
        <v>#VALUE!</v>
      </c>
      <c r="Z243" s="114" t="e">
        <f>_xll.qlCalendarAdvance(Calendar,Y243,0&amp;"D")</f>
        <v>#VALUE!</v>
      </c>
      <c r="AA243" s="115" t="e">
        <f ca="1"/>
        <v>#N/A</v>
      </c>
      <c r="AB243" s="151"/>
    </row>
    <row r="244" spans="23:28" x14ac:dyDescent="0.2">
      <c r="W244" s="152"/>
      <c r="X244" s="119" t="str">
        <f t="shared" si="11"/>
        <v>1D</v>
      </c>
      <c r="Y244" s="112" t="e">
        <f>_xll.qlCalendarAdvance(Calendar,Y243,X244,"f",FALSE)</f>
        <v>#VALUE!</v>
      </c>
      <c r="Z244" s="114" t="e">
        <f>_xll.qlCalendarAdvance(Calendar,Y244,0&amp;"D")</f>
        <v>#VALUE!</v>
      </c>
      <c r="AA244" s="115" t="e">
        <f ca="1"/>
        <v>#N/A</v>
      </c>
      <c r="AB244" s="151"/>
    </row>
    <row r="245" spans="23:28" x14ac:dyDescent="0.2">
      <c r="W245" s="152"/>
      <c r="X245" s="119" t="str">
        <f t="shared" si="11"/>
        <v>1D</v>
      </c>
      <c r="Y245" s="112" t="e">
        <f>_xll.qlCalendarAdvance(Calendar,Y244,X245,"f",FALSE)</f>
        <v>#VALUE!</v>
      </c>
      <c r="Z245" s="114" t="e">
        <f>_xll.qlCalendarAdvance(Calendar,Y245,0&amp;"D")</f>
        <v>#VALUE!</v>
      </c>
      <c r="AA245" s="115" t="e">
        <f ca="1"/>
        <v>#N/A</v>
      </c>
      <c r="AB245" s="151"/>
    </row>
    <row r="246" spans="23:28" x14ac:dyDescent="0.2">
      <c r="W246" s="152"/>
      <c r="X246" s="119" t="str">
        <f t="shared" si="11"/>
        <v>1D</v>
      </c>
      <c r="Y246" s="112" t="e">
        <f>_xll.qlCalendarAdvance(Calendar,Y245,X246,"f",FALSE)</f>
        <v>#VALUE!</v>
      </c>
      <c r="Z246" s="114" t="e">
        <f>_xll.qlCalendarAdvance(Calendar,Y246,0&amp;"D")</f>
        <v>#VALUE!</v>
      </c>
      <c r="AA246" s="115" t="e">
        <f ca="1"/>
        <v>#N/A</v>
      </c>
      <c r="AB246" s="151"/>
    </row>
    <row r="247" spans="23:28" x14ac:dyDescent="0.2">
      <c r="W247" s="152"/>
      <c r="X247" s="119" t="str">
        <f t="shared" si="11"/>
        <v>1D</v>
      </c>
      <c r="Y247" s="112" t="e">
        <f>_xll.qlCalendarAdvance(Calendar,Y246,X247,"f",FALSE)</f>
        <v>#VALUE!</v>
      </c>
      <c r="Z247" s="114" t="e">
        <f>_xll.qlCalendarAdvance(Calendar,Y247,0&amp;"D")</f>
        <v>#VALUE!</v>
      </c>
      <c r="AA247" s="115" t="e">
        <f ca="1"/>
        <v>#N/A</v>
      </c>
      <c r="AB247" s="151"/>
    </row>
    <row r="248" spans="23:28" x14ac:dyDescent="0.2">
      <c r="W248" s="152"/>
      <c r="X248" s="119" t="str">
        <f t="shared" si="11"/>
        <v>1D</v>
      </c>
      <c r="Y248" s="112" t="e">
        <f>_xll.qlCalendarAdvance(Calendar,Y247,X248,"f",FALSE)</f>
        <v>#VALUE!</v>
      </c>
      <c r="Z248" s="114" t="e">
        <f>_xll.qlCalendarAdvance(Calendar,Y248,0&amp;"D")</f>
        <v>#VALUE!</v>
      </c>
      <c r="AA248" s="115" t="e">
        <f ca="1"/>
        <v>#N/A</v>
      </c>
      <c r="AB248" s="151"/>
    </row>
    <row r="249" spans="23:28" x14ac:dyDescent="0.2">
      <c r="W249" s="152"/>
      <c r="X249" s="119" t="str">
        <f t="shared" si="11"/>
        <v>1D</v>
      </c>
      <c r="Y249" s="112" t="e">
        <f>_xll.qlCalendarAdvance(Calendar,Y248,X249,"f",FALSE)</f>
        <v>#VALUE!</v>
      </c>
      <c r="Z249" s="114" t="e">
        <f>_xll.qlCalendarAdvance(Calendar,Y249,0&amp;"D")</f>
        <v>#VALUE!</v>
      </c>
      <c r="AA249" s="115" t="e">
        <f ca="1"/>
        <v>#N/A</v>
      </c>
      <c r="AB249" s="151"/>
    </row>
    <row r="250" spans="23:28" x14ac:dyDescent="0.2">
      <c r="W250" s="152"/>
      <c r="X250" s="119" t="str">
        <f t="shared" si="11"/>
        <v>1D</v>
      </c>
      <c r="Y250" s="112" t="e">
        <f>_xll.qlCalendarAdvance(Calendar,Y249,X250,"f",FALSE)</f>
        <v>#VALUE!</v>
      </c>
      <c r="Z250" s="114" t="e">
        <f>_xll.qlCalendarAdvance(Calendar,Y250,0&amp;"D")</f>
        <v>#VALUE!</v>
      </c>
      <c r="AA250" s="115" t="e">
        <f ca="1"/>
        <v>#N/A</v>
      </c>
      <c r="AB250" s="151"/>
    </row>
    <row r="251" spans="23:28" x14ac:dyDescent="0.2">
      <c r="W251" s="152"/>
      <c r="X251" s="119" t="str">
        <f t="shared" si="11"/>
        <v>1D</v>
      </c>
      <c r="Y251" s="112" t="e">
        <f>_xll.qlCalendarAdvance(Calendar,Y250,X251,"f",FALSE)</f>
        <v>#VALUE!</v>
      </c>
      <c r="Z251" s="114" t="e">
        <f>_xll.qlCalendarAdvance(Calendar,Y251,0&amp;"D")</f>
        <v>#VALUE!</v>
      </c>
      <c r="AA251" s="115" t="e">
        <f ca="1"/>
        <v>#N/A</v>
      </c>
      <c r="AB251" s="151"/>
    </row>
    <row r="252" spans="23:28" x14ac:dyDescent="0.2">
      <c r="W252" s="152"/>
      <c r="X252" s="119" t="str">
        <f t="shared" si="11"/>
        <v>1D</v>
      </c>
      <c r="Y252" s="112" t="e">
        <f>_xll.qlCalendarAdvance(Calendar,Y251,X252,"f",FALSE)</f>
        <v>#VALUE!</v>
      </c>
      <c r="Z252" s="114" t="e">
        <f>_xll.qlCalendarAdvance(Calendar,Y252,0&amp;"D")</f>
        <v>#VALUE!</v>
      </c>
      <c r="AA252" s="115" t="e">
        <f ca="1"/>
        <v>#N/A</v>
      </c>
      <c r="AB252" s="151"/>
    </row>
    <row r="253" spans="23:28" x14ac:dyDescent="0.2">
      <c r="W253" s="152"/>
      <c r="X253" s="119" t="str">
        <f t="shared" si="11"/>
        <v>1D</v>
      </c>
      <c r="Y253" s="112" t="e">
        <f>_xll.qlCalendarAdvance(Calendar,Y252,X253,"f",FALSE)</f>
        <v>#VALUE!</v>
      </c>
      <c r="Z253" s="114" t="e">
        <f>_xll.qlCalendarAdvance(Calendar,Y253,0&amp;"D")</f>
        <v>#VALUE!</v>
      </c>
      <c r="AA253" s="115" t="e">
        <f ca="1"/>
        <v>#N/A</v>
      </c>
      <c r="AB253" s="151"/>
    </row>
    <row r="254" spans="23:28" x14ac:dyDescent="0.2">
      <c r="W254" s="152"/>
      <c r="X254" s="119" t="str">
        <f t="shared" si="11"/>
        <v>1D</v>
      </c>
      <c r="Y254" s="112" t="e">
        <f>_xll.qlCalendarAdvance(Calendar,Y253,X254,"f",FALSE)</f>
        <v>#VALUE!</v>
      </c>
      <c r="Z254" s="114" t="e">
        <f>_xll.qlCalendarAdvance(Calendar,Y254,0&amp;"D")</f>
        <v>#VALUE!</v>
      </c>
      <c r="AA254" s="115" t="e">
        <f ca="1"/>
        <v>#N/A</v>
      </c>
      <c r="AB254" s="151"/>
    </row>
    <row r="255" spans="23:28" x14ac:dyDescent="0.2">
      <c r="W255" s="152"/>
      <c r="X255" s="119" t="str">
        <f t="shared" si="11"/>
        <v>1D</v>
      </c>
      <c r="Y255" s="112" t="e">
        <f>_xll.qlCalendarAdvance(Calendar,Y254,X255,"f",FALSE)</f>
        <v>#VALUE!</v>
      </c>
      <c r="Z255" s="114" t="e">
        <f>_xll.qlCalendarAdvance(Calendar,Y255,0&amp;"D")</f>
        <v>#VALUE!</v>
      </c>
      <c r="AA255" s="115" t="e">
        <f ca="1"/>
        <v>#N/A</v>
      </c>
      <c r="AB255" s="151"/>
    </row>
    <row r="256" spans="23:28" x14ac:dyDescent="0.2">
      <c r="W256" s="152"/>
      <c r="X256" s="119" t="str">
        <f t="shared" si="11"/>
        <v>1D</v>
      </c>
      <c r="Y256" s="112" t="e">
        <f>_xll.qlCalendarAdvance(Calendar,Y255,X256,"f",FALSE)</f>
        <v>#VALUE!</v>
      </c>
      <c r="Z256" s="114" t="e">
        <f>_xll.qlCalendarAdvance(Calendar,Y256,0&amp;"D")</f>
        <v>#VALUE!</v>
      </c>
      <c r="AA256" s="115" t="e">
        <f ca="1"/>
        <v>#N/A</v>
      </c>
      <c r="AB256" s="151"/>
    </row>
    <row r="257" spans="23:28" x14ac:dyDescent="0.2">
      <c r="W257" s="152"/>
      <c r="X257" s="119" t="str">
        <f t="shared" si="11"/>
        <v>1D</v>
      </c>
      <c r="Y257" s="112" t="e">
        <f>_xll.qlCalendarAdvance(Calendar,Y256,X257,"f",FALSE)</f>
        <v>#VALUE!</v>
      </c>
      <c r="Z257" s="114" t="e">
        <f>_xll.qlCalendarAdvance(Calendar,Y257,0&amp;"D")</f>
        <v>#VALUE!</v>
      </c>
      <c r="AA257" s="115" t="e">
        <f ca="1"/>
        <v>#N/A</v>
      </c>
      <c r="AB257" s="151"/>
    </row>
    <row r="258" spans="23:28" x14ac:dyDescent="0.2">
      <c r="W258" s="152"/>
      <c r="X258" s="119" t="str">
        <f t="shared" si="11"/>
        <v>1D</v>
      </c>
      <c r="Y258" s="112" t="e">
        <f>_xll.qlCalendarAdvance(Calendar,Y257,X258,"f",FALSE)</f>
        <v>#VALUE!</v>
      </c>
      <c r="Z258" s="114" t="e">
        <f>_xll.qlCalendarAdvance(Calendar,Y258,0&amp;"D")</f>
        <v>#VALUE!</v>
      </c>
      <c r="AA258" s="115" t="e">
        <f ca="1"/>
        <v>#N/A</v>
      </c>
      <c r="AB258" s="151"/>
    </row>
    <row r="259" spans="23:28" x14ac:dyDescent="0.2">
      <c r="W259" s="152"/>
      <c r="X259" s="119" t="str">
        <f t="shared" si="11"/>
        <v>1D</v>
      </c>
      <c r="Y259" s="112" t="e">
        <f>_xll.qlCalendarAdvance(Calendar,Y258,X259,"f",FALSE)</f>
        <v>#VALUE!</v>
      </c>
      <c r="Z259" s="114" t="e">
        <f>_xll.qlCalendarAdvance(Calendar,Y259,0&amp;"D")</f>
        <v>#VALUE!</v>
      </c>
      <c r="AA259" s="115" t="e">
        <f ca="1"/>
        <v>#N/A</v>
      </c>
      <c r="AB259" s="151"/>
    </row>
    <row r="260" spans="23:28" x14ac:dyDescent="0.2">
      <c r="W260" s="152"/>
      <c r="X260" s="119" t="str">
        <f t="shared" si="11"/>
        <v>1D</v>
      </c>
      <c r="Y260" s="112" t="e">
        <f>_xll.qlCalendarAdvance(Calendar,Y259,X260,"f",FALSE)</f>
        <v>#VALUE!</v>
      </c>
      <c r="Z260" s="114" t="e">
        <f>_xll.qlCalendarAdvance(Calendar,Y260,0&amp;"D")</f>
        <v>#VALUE!</v>
      </c>
      <c r="AA260" s="115" t="e">
        <f ca="1"/>
        <v>#N/A</v>
      </c>
      <c r="AB260" s="151"/>
    </row>
    <row r="261" spans="23:28" x14ac:dyDescent="0.2">
      <c r="W261" s="152"/>
      <c r="X261" s="119" t="str">
        <f t="shared" si="11"/>
        <v>1D</v>
      </c>
      <c r="Y261" s="112" t="e">
        <f>_xll.qlCalendarAdvance(Calendar,Y260,X261,"f",FALSE)</f>
        <v>#VALUE!</v>
      </c>
      <c r="Z261" s="114" t="e">
        <f>_xll.qlCalendarAdvance(Calendar,Y261,0&amp;"D")</f>
        <v>#VALUE!</v>
      </c>
      <c r="AA261" s="115" t="e">
        <f ca="1"/>
        <v>#N/A</v>
      </c>
      <c r="AB261" s="151"/>
    </row>
    <row r="262" spans="23:28" x14ac:dyDescent="0.2">
      <c r="W262" s="152"/>
      <c r="X262" s="119" t="str">
        <f t="shared" si="11"/>
        <v>1D</v>
      </c>
      <c r="Y262" s="112" t="e">
        <f>_xll.qlCalendarAdvance(Calendar,Y261,X262,"f",FALSE)</f>
        <v>#VALUE!</v>
      </c>
      <c r="Z262" s="114" t="e">
        <f>_xll.qlCalendarAdvance(Calendar,Y262,0&amp;"D")</f>
        <v>#VALUE!</v>
      </c>
      <c r="AA262" s="115" t="e">
        <f ca="1"/>
        <v>#N/A</v>
      </c>
      <c r="AB262" s="151"/>
    </row>
    <row r="263" spans="23:28" x14ac:dyDescent="0.2">
      <c r="W263" s="152"/>
      <c r="X263" s="119" t="str">
        <f t="shared" si="11"/>
        <v>1D</v>
      </c>
      <c r="Y263" s="112" t="e">
        <f>_xll.qlCalendarAdvance(Calendar,Y262,X263,"f",FALSE)</f>
        <v>#VALUE!</v>
      </c>
      <c r="Z263" s="114" t="e">
        <f>_xll.qlCalendarAdvance(Calendar,Y263,0&amp;"D")</f>
        <v>#VALUE!</v>
      </c>
      <c r="AA263" s="115" t="e">
        <f ca="1"/>
        <v>#N/A</v>
      </c>
      <c r="AB263" s="151"/>
    </row>
    <row r="264" spans="23:28" x14ac:dyDescent="0.2">
      <c r="W264" s="152"/>
      <c r="X264" s="119" t="str">
        <f t="shared" si="11"/>
        <v>1D</v>
      </c>
      <c r="Y264" s="112" t="e">
        <f>_xll.qlCalendarAdvance(Calendar,Y263,X264,"f",FALSE)</f>
        <v>#VALUE!</v>
      </c>
      <c r="Z264" s="114" t="e">
        <f>_xll.qlCalendarAdvance(Calendar,Y264,0&amp;"D")</f>
        <v>#VALUE!</v>
      </c>
      <c r="AA264" s="115" t="e">
        <f ca="1"/>
        <v>#N/A</v>
      </c>
      <c r="AB264" s="151"/>
    </row>
    <row r="265" spans="23:28" x14ac:dyDescent="0.2">
      <c r="W265" s="152"/>
      <c r="X265" s="119" t="str">
        <f t="shared" si="11"/>
        <v>1D</v>
      </c>
      <c r="Y265" s="112" t="e">
        <f>_xll.qlCalendarAdvance(Calendar,Y264,X265,"f",FALSE)</f>
        <v>#VALUE!</v>
      </c>
      <c r="Z265" s="114" t="e">
        <f>_xll.qlCalendarAdvance(Calendar,Y265,0&amp;"D")</f>
        <v>#VALUE!</v>
      </c>
      <c r="AA265" s="115" t="e">
        <f ca="1"/>
        <v>#N/A</v>
      </c>
      <c r="AB265" s="151"/>
    </row>
    <row r="266" spans="23:28" x14ac:dyDescent="0.2">
      <c r="W266" s="152"/>
      <c r="X266" s="119" t="str">
        <f t="shared" si="11"/>
        <v>1D</v>
      </c>
      <c r="Y266" s="112" t="e">
        <f>_xll.qlCalendarAdvance(Calendar,Y265,X266,"f",FALSE)</f>
        <v>#VALUE!</v>
      </c>
      <c r="Z266" s="114" t="e">
        <f>_xll.qlCalendarAdvance(Calendar,Y266,0&amp;"D")</f>
        <v>#VALUE!</v>
      </c>
      <c r="AA266" s="115" t="e">
        <f ca="1"/>
        <v>#N/A</v>
      </c>
      <c r="AB266" s="151"/>
    </row>
    <row r="267" spans="23:28" x14ac:dyDescent="0.2">
      <c r="W267" s="152"/>
      <c r="X267" s="119" t="str">
        <f t="shared" si="11"/>
        <v>1D</v>
      </c>
      <c r="Y267" s="112" t="e">
        <f>_xll.qlCalendarAdvance(Calendar,Y266,X267,"f",FALSE)</f>
        <v>#VALUE!</v>
      </c>
      <c r="Z267" s="114" t="e">
        <f>_xll.qlCalendarAdvance(Calendar,Y267,0&amp;"D")</f>
        <v>#VALUE!</v>
      </c>
      <c r="AA267" s="115" t="e">
        <f ca="1"/>
        <v>#N/A</v>
      </c>
      <c r="AB267" s="151"/>
    </row>
    <row r="268" spans="23:28" x14ac:dyDescent="0.2">
      <c r="W268" s="152"/>
      <c r="X268" s="119" t="str">
        <f t="shared" si="11"/>
        <v>1D</v>
      </c>
      <c r="Y268" s="112" t="e">
        <f>_xll.qlCalendarAdvance(Calendar,Y267,X268,"f",FALSE)</f>
        <v>#VALUE!</v>
      </c>
      <c r="Z268" s="114" t="e">
        <f>_xll.qlCalendarAdvance(Calendar,Y268,0&amp;"D")</f>
        <v>#VALUE!</v>
      </c>
      <c r="AA268" s="115" t="e">
        <f ca="1"/>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f ca="1"/>
        <v>#N/A</v>
      </c>
      <c r="AB269" s="151"/>
    </row>
    <row r="270" spans="23:28" x14ac:dyDescent="0.2">
      <c r="W270" s="152"/>
      <c r="X270" s="119" t="str">
        <f t="shared" si="12"/>
        <v>1D</v>
      </c>
      <c r="Y270" s="112" t="e">
        <f>_xll.qlCalendarAdvance(Calendar,Y269,X270,"f",FALSE)</f>
        <v>#VALUE!</v>
      </c>
      <c r="Z270" s="114" t="e">
        <f>_xll.qlCalendarAdvance(Calendar,Y270,0&amp;"D")</f>
        <v>#VALUE!</v>
      </c>
      <c r="AA270" s="115" t="e">
        <f ca="1"/>
        <v>#N/A</v>
      </c>
      <c r="AB270" s="151"/>
    </row>
    <row r="271" spans="23:28" x14ac:dyDescent="0.2">
      <c r="W271" s="152"/>
      <c r="X271" s="119" t="str">
        <f t="shared" si="12"/>
        <v>1D</v>
      </c>
      <c r="Y271" s="112" t="e">
        <f>_xll.qlCalendarAdvance(Calendar,Y270,X271,"f",FALSE)</f>
        <v>#VALUE!</v>
      </c>
      <c r="Z271" s="114" t="e">
        <f>_xll.qlCalendarAdvance(Calendar,Y271,0&amp;"D")</f>
        <v>#VALUE!</v>
      </c>
      <c r="AA271" s="115" t="e">
        <f ca="1"/>
        <v>#N/A</v>
      </c>
      <c r="AB271" s="151"/>
    </row>
    <row r="272" spans="23:28" x14ac:dyDescent="0.2">
      <c r="W272" s="152"/>
      <c r="X272" s="119" t="str">
        <f t="shared" si="12"/>
        <v>1D</v>
      </c>
      <c r="Y272" s="112" t="e">
        <f>_xll.qlCalendarAdvance(Calendar,Y271,X272,"f",FALSE)</f>
        <v>#VALUE!</v>
      </c>
      <c r="Z272" s="114" t="e">
        <f>_xll.qlCalendarAdvance(Calendar,Y272,0&amp;"D")</f>
        <v>#VALUE!</v>
      </c>
      <c r="AA272" s="115" t="e">
        <f ca="1"/>
        <v>#N/A</v>
      </c>
      <c r="AB272" s="151"/>
    </row>
    <row r="273" spans="23:28" x14ac:dyDescent="0.2">
      <c r="W273" s="152"/>
      <c r="X273" s="119" t="str">
        <f t="shared" si="12"/>
        <v>1D</v>
      </c>
      <c r="Y273" s="112" t="e">
        <f>_xll.qlCalendarAdvance(Calendar,Y272,X273,"f",FALSE)</f>
        <v>#VALUE!</v>
      </c>
      <c r="Z273" s="114" t="e">
        <f>_xll.qlCalendarAdvance(Calendar,Y273,0&amp;"D")</f>
        <v>#VALUE!</v>
      </c>
      <c r="AA273" s="115" t="e">
        <f ca="1"/>
        <v>#N/A</v>
      </c>
      <c r="AB273" s="151"/>
    </row>
    <row r="274" spans="23:28" x14ac:dyDescent="0.2">
      <c r="W274" s="152"/>
      <c r="X274" s="119" t="str">
        <f t="shared" si="12"/>
        <v>1D</v>
      </c>
      <c r="Y274" s="112" t="e">
        <f>_xll.qlCalendarAdvance(Calendar,Y273,X274,"f",FALSE)</f>
        <v>#VALUE!</v>
      </c>
      <c r="Z274" s="114" t="e">
        <f>_xll.qlCalendarAdvance(Calendar,Y274,0&amp;"D")</f>
        <v>#VALUE!</v>
      </c>
      <c r="AA274" s="115" t="e">
        <f ca="1"/>
        <v>#N/A</v>
      </c>
      <c r="AB274" s="151"/>
    </row>
    <row r="275" spans="23:28" x14ac:dyDescent="0.2">
      <c r="W275" s="152"/>
      <c r="X275" s="119" t="str">
        <f t="shared" si="12"/>
        <v>1D</v>
      </c>
      <c r="Y275" s="112" t="e">
        <f>_xll.qlCalendarAdvance(Calendar,Y274,X275,"f",FALSE)</f>
        <v>#VALUE!</v>
      </c>
      <c r="Z275" s="114" t="e">
        <f>_xll.qlCalendarAdvance(Calendar,Y275,0&amp;"D")</f>
        <v>#VALUE!</v>
      </c>
      <c r="AA275" s="115" t="e">
        <f ca="1"/>
        <v>#N/A</v>
      </c>
      <c r="AB275" s="151"/>
    </row>
    <row r="276" spans="23:28" x14ac:dyDescent="0.2">
      <c r="W276" s="152"/>
      <c r="X276" s="119" t="str">
        <f t="shared" si="12"/>
        <v>1D</v>
      </c>
      <c r="Y276" s="112" t="e">
        <f>_xll.qlCalendarAdvance(Calendar,Y275,X276,"f",FALSE)</f>
        <v>#VALUE!</v>
      </c>
      <c r="Z276" s="114" t="e">
        <f>_xll.qlCalendarAdvance(Calendar,Y276,0&amp;"D")</f>
        <v>#VALUE!</v>
      </c>
      <c r="AA276" s="115" t="e">
        <f ca="1"/>
        <v>#N/A</v>
      </c>
      <c r="AB276" s="151"/>
    </row>
    <row r="277" spans="23:28" x14ac:dyDescent="0.2">
      <c r="W277" s="152"/>
      <c r="X277" s="119" t="str">
        <f t="shared" si="12"/>
        <v>1D</v>
      </c>
      <c r="Y277" s="112" t="e">
        <f>_xll.qlCalendarAdvance(Calendar,Y276,X277,"f",FALSE)</f>
        <v>#VALUE!</v>
      </c>
      <c r="Z277" s="114" t="e">
        <f>_xll.qlCalendarAdvance(Calendar,Y277,0&amp;"D")</f>
        <v>#VALUE!</v>
      </c>
      <c r="AA277" s="115" t="e">
        <f ca="1"/>
        <v>#N/A</v>
      </c>
      <c r="AB277" s="151"/>
    </row>
    <row r="278" spans="23:28" x14ac:dyDescent="0.2">
      <c r="W278" s="152"/>
      <c r="X278" s="119" t="str">
        <f t="shared" si="12"/>
        <v>1D</v>
      </c>
      <c r="Y278" s="112" t="e">
        <f>_xll.qlCalendarAdvance(Calendar,Y277,X278,"f",FALSE)</f>
        <v>#VALUE!</v>
      </c>
      <c r="Z278" s="114" t="e">
        <f>_xll.qlCalendarAdvance(Calendar,Y278,0&amp;"D")</f>
        <v>#VALUE!</v>
      </c>
      <c r="AA278" s="115" t="e">
        <f ca="1"/>
        <v>#N/A</v>
      </c>
      <c r="AB278" s="151"/>
    </row>
    <row r="279" spans="23:28" x14ac:dyDescent="0.2">
      <c r="W279" s="152"/>
      <c r="X279" s="119" t="str">
        <f t="shared" si="12"/>
        <v>1D</v>
      </c>
      <c r="Y279" s="112" t="e">
        <f>_xll.qlCalendarAdvance(Calendar,Y278,X279,"f",FALSE)</f>
        <v>#VALUE!</v>
      </c>
      <c r="Z279" s="114" t="e">
        <f>_xll.qlCalendarAdvance(Calendar,Y279,0&amp;"D")</f>
        <v>#VALUE!</v>
      </c>
      <c r="AA279" s="115" t="e">
        <f ca="1"/>
        <v>#N/A</v>
      </c>
      <c r="AB279" s="151"/>
    </row>
    <row r="280" spans="23:28" x14ac:dyDescent="0.2">
      <c r="W280" s="152"/>
      <c r="X280" s="119" t="str">
        <f t="shared" si="12"/>
        <v>1D</v>
      </c>
      <c r="Y280" s="112" t="e">
        <f>_xll.qlCalendarAdvance(Calendar,Y279,X280,"f",FALSE)</f>
        <v>#VALUE!</v>
      </c>
      <c r="Z280" s="114" t="e">
        <f>_xll.qlCalendarAdvance(Calendar,Y280,0&amp;"D")</f>
        <v>#VALUE!</v>
      </c>
      <c r="AA280" s="115" t="e">
        <f ca="1"/>
        <v>#N/A</v>
      </c>
      <c r="AB280" s="151"/>
    </row>
    <row r="281" spans="23:28" x14ac:dyDescent="0.2">
      <c r="W281" s="152"/>
      <c r="X281" s="119" t="str">
        <f t="shared" si="12"/>
        <v>1D</v>
      </c>
      <c r="Y281" s="112" t="e">
        <f>_xll.qlCalendarAdvance(Calendar,Y280,X281,"f",FALSE)</f>
        <v>#VALUE!</v>
      </c>
      <c r="Z281" s="114" t="e">
        <f>_xll.qlCalendarAdvance(Calendar,Y281,0&amp;"D")</f>
        <v>#VALUE!</v>
      </c>
      <c r="AA281" s="115" t="e">
        <f ca="1"/>
        <v>#N/A</v>
      </c>
      <c r="AB281" s="151"/>
    </row>
    <row r="282" spans="23:28" x14ac:dyDescent="0.2">
      <c r="W282" s="152"/>
      <c r="X282" s="119" t="str">
        <f t="shared" si="12"/>
        <v>1D</v>
      </c>
      <c r="Y282" s="112" t="e">
        <f>_xll.qlCalendarAdvance(Calendar,Y281,X282,"f",FALSE)</f>
        <v>#VALUE!</v>
      </c>
      <c r="Z282" s="114" t="e">
        <f>_xll.qlCalendarAdvance(Calendar,Y282,0&amp;"D")</f>
        <v>#VALUE!</v>
      </c>
      <c r="AA282" s="115" t="e">
        <f ca="1"/>
        <v>#N/A</v>
      </c>
      <c r="AB282" s="151"/>
    </row>
    <row r="283" spans="23:28" x14ac:dyDescent="0.2">
      <c r="W283" s="152"/>
      <c r="X283" s="119" t="str">
        <f t="shared" si="12"/>
        <v>1D</v>
      </c>
      <c r="Y283" s="112" t="e">
        <f>_xll.qlCalendarAdvance(Calendar,Y282,X283,"f",FALSE)</f>
        <v>#VALUE!</v>
      </c>
      <c r="Z283" s="114" t="e">
        <f>_xll.qlCalendarAdvance(Calendar,Y283,0&amp;"D")</f>
        <v>#VALUE!</v>
      </c>
      <c r="AA283" s="115" t="e">
        <f ca="1"/>
        <v>#N/A</v>
      </c>
      <c r="AB283" s="151"/>
    </row>
    <row r="284" spans="23:28" x14ac:dyDescent="0.2">
      <c r="W284" s="152"/>
      <c r="X284" s="119" t="str">
        <f t="shared" si="12"/>
        <v>1D</v>
      </c>
      <c r="Y284" s="112" t="e">
        <f>_xll.qlCalendarAdvance(Calendar,Y283,X284,"f",FALSE)</f>
        <v>#VALUE!</v>
      </c>
      <c r="Z284" s="114" t="e">
        <f>_xll.qlCalendarAdvance(Calendar,Y284,0&amp;"D")</f>
        <v>#VALUE!</v>
      </c>
      <c r="AA284" s="115" t="e">
        <f ca="1"/>
        <v>#N/A</v>
      </c>
      <c r="AB284" s="151"/>
    </row>
    <row r="285" spans="23:28" x14ac:dyDescent="0.2">
      <c r="W285" s="152"/>
      <c r="X285" s="119" t="str">
        <f t="shared" si="12"/>
        <v>1D</v>
      </c>
      <c r="Y285" s="112" t="e">
        <f>_xll.qlCalendarAdvance(Calendar,Y284,X285,"f",FALSE)</f>
        <v>#VALUE!</v>
      </c>
      <c r="Z285" s="114" t="e">
        <f>_xll.qlCalendarAdvance(Calendar,Y285,0&amp;"D")</f>
        <v>#VALUE!</v>
      </c>
      <c r="AA285" s="115" t="e">
        <f ca="1"/>
        <v>#N/A</v>
      </c>
      <c r="AB285" s="151"/>
    </row>
    <row r="286" spans="23:28" x14ac:dyDescent="0.2">
      <c r="W286" s="152"/>
      <c r="X286" s="119" t="str">
        <f t="shared" si="12"/>
        <v>1D</v>
      </c>
      <c r="Y286" s="112" t="e">
        <f>_xll.qlCalendarAdvance(Calendar,Y285,X286,"f",FALSE)</f>
        <v>#VALUE!</v>
      </c>
      <c r="Z286" s="114" t="e">
        <f>_xll.qlCalendarAdvance(Calendar,Y286,0&amp;"D")</f>
        <v>#VALUE!</v>
      </c>
      <c r="AA286" s="115" t="e">
        <f ca="1"/>
        <v>#N/A</v>
      </c>
      <c r="AB286" s="151"/>
    </row>
    <row r="287" spans="23:28" x14ac:dyDescent="0.2">
      <c r="W287" s="152"/>
      <c r="X287" s="119" t="str">
        <f t="shared" si="12"/>
        <v>1D</v>
      </c>
      <c r="Y287" s="112" t="e">
        <f>_xll.qlCalendarAdvance(Calendar,Y286,X287,"f",FALSE)</f>
        <v>#VALUE!</v>
      </c>
      <c r="Z287" s="114" t="e">
        <f>_xll.qlCalendarAdvance(Calendar,Y287,0&amp;"D")</f>
        <v>#VALUE!</v>
      </c>
      <c r="AA287" s="115" t="e">
        <f ca="1"/>
        <v>#N/A</v>
      </c>
      <c r="AB287" s="151"/>
    </row>
    <row r="288" spans="23:28" x14ac:dyDescent="0.2">
      <c r="W288" s="152"/>
      <c r="X288" s="119" t="str">
        <f t="shared" si="12"/>
        <v>1D</v>
      </c>
      <c r="Y288" s="112" t="e">
        <f>_xll.qlCalendarAdvance(Calendar,Y287,X288,"f",FALSE)</f>
        <v>#VALUE!</v>
      </c>
      <c r="Z288" s="114" t="e">
        <f>_xll.qlCalendarAdvance(Calendar,Y288,0&amp;"D")</f>
        <v>#VALUE!</v>
      </c>
      <c r="AA288" s="115" t="e">
        <f ca="1"/>
        <v>#N/A</v>
      </c>
      <c r="AB288" s="151"/>
    </row>
    <row r="289" spans="23:28" x14ac:dyDescent="0.2">
      <c r="W289" s="152"/>
      <c r="X289" s="119" t="str">
        <f t="shared" si="12"/>
        <v>1D</v>
      </c>
      <c r="Y289" s="112" t="e">
        <f>_xll.qlCalendarAdvance(Calendar,Y288,X289,"f",FALSE)</f>
        <v>#VALUE!</v>
      </c>
      <c r="Z289" s="114" t="e">
        <f>_xll.qlCalendarAdvance(Calendar,Y289,0&amp;"D")</f>
        <v>#VALUE!</v>
      </c>
      <c r="AA289" s="115" t="e">
        <f ca="1"/>
        <v>#N/A</v>
      </c>
      <c r="AB289" s="151"/>
    </row>
    <row r="290" spans="23:28" x14ac:dyDescent="0.2">
      <c r="W290" s="152"/>
      <c r="X290" s="119" t="str">
        <f t="shared" si="12"/>
        <v>1D</v>
      </c>
      <c r="Y290" s="112" t="e">
        <f>_xll.qlCalendarAdvance(Calendar,Y289,X290,"f",FALSE)</f>
        <v>#VALUE!</v>
      </c>
      <c r="Z290" s="114" t="e">
        <f>_xll.qlCalendarAdvance(Calendar,Y290,0&amp;"D")</f>
        <v>#VALUE!</v>
      </c>
      <c r="AA290" s="115" t="e">
        <f ca="1"/>
        <v>#N/A</v>
      </c>
      <c r="AB290" s="151"/>
    </row>
    <row r="291" spans="23:28" x14ac:dyDescent="0.2">
      <c r="W291" s="152"/>
      <c r="X291" s="119" t="str">
        <f t="shared" si="12"/>
        <v>1D</v>
      </c>
      <c r="Y291" s="112" t="e">
        <f>_xll.qlCalendarAdvance(Calendar,Y290,X291,"f",FALSE)</f>
        <v>#VALUE!</v>
      </c>
      <c r="Z291" s="114" t="e">
        <f>_xll.qlCalendarAdvance(Calendar,Y291,0&amp;"D")</f>
        <v>#VALUE!</v>
      </c>
      <c r="AA291" s="115" t="e">
        <f ca="1"/>
        <v>#N/A</v>
      </c>
      <c r="AB291" s="151"/>
    </row>
    <row r="292" spans="23:28" x14ac:dyDescent="0.2">
      <c r="W292" s="152"/>
      <c r="X292" s="119" t="str">
        <f t="shared" si="12"/>
        <v>1D</v>
      </c>
      <c r="Y292" s="112" t="e">
        <f>_xll.qlCalendarAdvance(Calendar,Y291,X292,"f",FALSE)</f>
        <v>#VALUE!</v>
      </c>
      <c r="Z292" s="114" t="e">
        <f>_xll.qlCalendarAdvance(Calendar,Y292,0&amp;"D")</f>
        <v>#VALUE!</v>
      </c>
      <c r="AA292" s="115" t="e">
        <f ca="1"/>
        <v>#N/A</v>
      </c>
      <c r="AB292" s="151"/>
    </row>
    <row r="293" spans="23:28" x14ac:dyDescent="0.2">
      <c r="W293" s="152"/>
      <c r="X293" s="119" t="str">
        <f t="shared" si="12"/>
        <v>1D</v>
      </c>
      <c r="Y293" s="112" t="e">
        <f>_xll.qlCalendarAdvance(Calendar,Y292,X293,"f",FALSE)</f>
        <v>#VALUE!</v>
      </c>
      <c r="Z293" s="114" t="e">
        <f>_xll.qlCalendarAdvance(Calendar,Y293,0&amp;"D")</f>
        <v>#VALUE!</v>
      </c>
      <c r="AA293" s="115" t="e">
        <f ca="1"/>
        <v>#N/A</v>
      </c>
      <c r="AB293" s="151"/>
    </row>
    <row r="294" spans="23:28" x14ac:dyDescent="0.2">
      <c r="W294" s="152"/>
      <c r="X294" s="119" t="str">
        <f t="shared" si="12"/>
        <v>1D</v>
      </c>
      <c r="Y294" s="112" t="e">
        <f>_xll.qlCalendarAdvance(Calendar,Y293,X294,"f",FALSE)</f>
        <v>#VALUE!</v>
      </c>
      <c r="Z294" s="114" t="e">
        <f>_xll.qlCalendarAdvance(Calendar,Y294,0&amp;"D")</f>
        <v>#VALUE!</v>
      </c>
      <c r="AA294" s="115" t="e">
        <f ca="1"/>
        <v>#N/A</v>
      </c>
      <c r="AB294" s="151"/>
    </row>
    <row r="295" spans="23:28" x14ac:dyDescent="0.2">
      <c r="W295" s="152"/>
      <c r="X295" s="119" t="str">
        <f t="shared" si="12"/>
        <v>1D</v>
      </c>
      <c r="Y295" s="112" t="e">
        <f>_xll.qlCalendarAdvance(Calendar,Y294,X295,"f",FALSE)</f>
        <v>#VALUE!</v>
      </c>
      <c r="Z295" s="114" t="e">
        <f>_xll.qlCalendarAdvance(Calendar,Y295,0&amp;"D")</f>
        <v>#VALUE!</v>
      </c>
      <c r="AA295" s="115" t="e">
        <f ca="1"/>
        <v>#N/A</v>
      </c>
      <c r="AB295" s="151"/>
    </row>
    <row r="296" spans="23:28" x14ac:dyDescent="0.2">
      <c r="W296" s="152"/>
      <c r="X296" s="119" t="str">
        <f t="shared" si="12"/>
        <v>1D</v>
      </c>
      <c r="Y296" s="112" t="e">
        <f>_xll.qlCalendarAdvance(Calendar,Y295,X296,"f",FALSE)</f>
        <v>#VALUE!</v>
      </c>
      <c r="Z296" s="114" t="e">
        <f>_xll.qlCalendarAdvance(Calendar,Y296,0&amp;"D")</f>
        <v>#VALUE!</v>
      </c>
      <c r="AA296" s="115" t="e">
        <f ca="1"/>
        <v>#N/A</v>
      </c>
      <c r="AB296" s="151"/>
    </row>
    <row r="297" spans="23:28" x14ac:dyDescent="0.2">
      <c r="W297" s="152"/>
      <c r="X297" s="119" t="str">
        <f t="shared" si="12"/>
        <v>1D</v>
      </c>
      <c r="Y297" s="112" t="e">
        <f>_xll.qlCalendarAdvance(Calendar,Y296,X297,"f",FALSE)</f>
        <v>#VALUE!</v>
      </c>
      <c r="Z297" s="114" t="e">
        <f>_xll.qlCalendarAdvance(Calendar,Y297,0&amp;"D")</f>
        <v>#VALUE!</v>
      </c>
      <c r="AA297" s="115" t="e">
        <f ca="1"/>
        <v>#N/A</v>
      </c>
      <c r="AB297" s="151"/>
    </row>
    <row r="298" spans="23:28" x14ac:dyDescent="0.2">
      <c r="W298" s="152"/>
      <c r="X298" s="119" t="str">
        <f t="shared" si="12"/>
        <v>1D</v>
      </c>
      <c r="Y298" s="112" t="e">
        <f>_xll.qlCalendarAdvance(Calendar,Y297,X298,"f",FALSE)</f>
        <v>#VALUE!</v>
      </c>
      <c r="Z298" s="114" t="e">
        <f>_xll.qlCalendarAdvance(Calendar,Y298,0&amp;"D")</f>
        <v>#VALUE!</v>
      </c>
      <c r="AA298" s="115" t="e">
        <f ca="1"/>
        <v>#N/A</v>
      </c>
      <c r="AB298" s="151"/>
    </row>
    <row r="299" spans="23:28" x14ac:dyDescent="0.2">
      <c r="W299" s="152"/>
      <c r="X299" s="119" t="str">
        <f t="shared" si="12"/>
        <v>1D</v>
      </c>
      <c r="Y299" s="112" t="e">
        <f>_xll.qlCalendarAdvance(Calendar,Y298,X299,"f",FALSE)</f>
        <v>#VALUE!</v>
      </c>
      <c r="Z299" s="114" t="e">
        <f>_xll.qlCalendarAdvance(Calendar,Y299,0&amp;"D")</f>
        <v>#VALUE!</v>
      </c>
      <c r="AA299" s="115" t="e">
        <f ca="1"/>
        <v>#N/A</v>
      </c>
      <c r="AB299" s="151"/>
    </row>
    <row r="300" spans="23:28" x14ac:dyDescent="0.2">
      <c r="W300" s="152"/>
      <c r="X300" s="119" t="str">
        <f t="shared" si="12"/>
        <v>1D</v>
      </c>
      <c r="Y300" s="112" t="e">
        <f>_xll.qlCalendarAdvance(Calendar,Y299,X300,"f",FALSE)</f>
        <v>#VALUE!</v>
      </c>
      <c r="Z300" s="114" t="e">
        <f>_xll.qlCalendarAdvance(Calendar,Y300,0&amp;"D")</f>
        <v>#VALUE!</v>
      </c>
      <c r="AA300" s="115" t="e">
        <f ca="1"/>
        <v>#N/A</v>
      </c>
      <c r="AB300" s="151"/>
    </row>
    <row r="301" spans="23:28" x14ac:dyDescent="0.2">
      <c r="W301" s="152"/>
      <c r="X301" s="119" t="str">
        <f t="shared" si="12"/>
        <v>1D</v>
      </c>
      <c r="Y301" s="112" t="e">
        <f>_xll.qlCalendarAdvance(Calendar,Y300,X301,"f",FALSE)</f>
        <v>#VALUE!</v>
      </c>
      <c r="Z301" s="114" t="e">
        <f>_xll.qlCalendarAdvance(Calendar,Y301,0&amp;"D")</f>
        <v>#VALUE!</v>
      </c>
      <c r="AA301" s="115" t="e">
        <f ca="1"/>
        <v>#N/A</v>
      </c>
      <c r="AB301" s="151"/>
    </row>
    <row r="302" spans="23:28" x14ac:dyDescent="0.2">
      <c r="W302" s="152"/>
      <c r="X302" s="119" t="str">
        <f t="shared" si="12"/>
        <v>1D</v>
      </c>
      <c r="Y302" s="112" t="e">
        <f>_xll.qlCalendarAdvance(Calendar,Y301,X302,"f",FALSE)</f>
        <v>#VALUE!</v>
      </c>
      <c r="Z302" s="114" t="e">
        <f>_xll.qlCalendarAdvance(Calendar,Y302,0&amp;"D")</f>
        <v>#VALUE!</v>
      </c>
      <c r="AA302" s="115" t="e">
        <f ca="1"/>
        <v>#N/A</v>
      </c>
      <c r="AB302" s="151"/>
    </row>
    <row r="303" spans="23:28" x14ac:dyDescent="0.2">
      <c r="W303" s="152"/>
      <c r="X303" s="119" t="str">
        <f t="shared" si="12"/>
        <v>1D</v>
      </c>
      <c r="Y303" s="112" t="e">
        <f>_xll.qlCalendarAdvance(Calendar,Y302,X303,"f",FALSE)</f>
        <v>#VALUE!</v>
      </c>
      <c r="Z303" s="114" t="e">
        <f>_xll.qlCalendarAdvance(Calendar,Y303,0&amp;"D")</f>
        <v>#VALUE!</v>
      </c>
      <c r="AA303" s="115" t="e">
        <f ca="1"/>
        <v>#N/A</v>
      </c>
      <c r="AB303" s="151"/>
    </row>
    <row r="304" spans="23:28" x14ac:dyDescent="0.2">
      <c r="W304" s="152"/>
      <c r="X304" s="119" t="str">
        <f t="shared" si="12"/>
        <v>1D</v>
      </c>
      <c r="Y304" s="112" t="e">
        <f>_xll.qlCalendarAdvance(Calendar,Y303,X304,"f",FALSE)</f>
        <v>#VALUE!</v>
      </c>
      <c r="Z304" s="114" t="e">
        <f>_xll.qlCalendarAdvance(Calendar,Y304,0&amp;"D")</f>
        <v>#VALUE!</v>
      </c>
      <c r="AA304" s="115" t="e">
        <f ca="1"/>
        <v>#N/A</v>
      </c>
      <c r="AB304" s="151"/>
    </row>
    <row r="305" spans="23:28" x14ac:dyDescent="0.2">
      <c r="W305" s="152"/>
      <c r="X305" s="119" t="str">
        <f t="shared" si="12"/>
        <v>1D</v>
      </c>
      <c r="Y305" s="112" t="e">
        <f>_xll.qlCalendarAdvance(Calendar,Y304,X305,"f",FALSE)</f>
        <v>#VALUE!</v>
      </c>
      <c r="Z305" s="114" t="e">
        <f>_xll.qlCalendarAdvance(Calendar,Y305,0&amp;"D")</f>
        <v>#VALUE!</v>
      </c>
      <c r="AA305" s="115" t="e">
        <f ca="1"/>
        <v>#N/A</v>
      </c>
      <c r="AB305" s="151"/>
    </row>
    <row r="306" spans="23:28" x14ac:dyDescent="0.2">
      <c r="W306" s="152"/>
      <c r="X306" s="119" t="str">
        <f t="shared" si="12"/>
        <v>1D</v>
      </c>
      <c r="Y306" s="112" t="e">
        <f>_xll.qlCalendarAdvance(Calendar,Y305,X306,"f",FALSE)</f>
        <v>#VALUE!</v>
      </c>
      <c r="Z306" s="114" t="e">
        <f>_xll.qlCalendarAdvance(Calendar,Y306,0&amp;"D")</f>
        <v>#VALUE!</v>
      </c>
      <c r="AA306" s="115" t="e">
        <f ca="1"/>
        <v>#N/A</v>
      </c>
      <c r="AB306" s="151"/>
    </row>
    <row r="307" spans="23:28" x14ac:dyDescent="0.2">
      <c r="W307" s="152"/>
      <c r="X307" s="119" t="str">
        <f t="shared" si="12"/>
        <v>1D</v>
      </c>
      <c r="Y307" s="112" t="e">
        <f>_xll.qlCalendarAdvance(Calendar,Y306,X307,"f",FALSE)</f>
        <v>#VALUE!</v>
      </c>
      <c r="Z307" s="114" t="e">
        <f>_xll.qlCalendarAdvance(Calendar,Y307,0&amp;"D")</f>
        <v>#VALUE!</v>
      </c>
      <c r="AA307" s="115" t="e">
        <f ca="1"/>
        <v>#N/A</v>
      </c>
      <c r="AB307" s="151"/>
    </row>
    <row r="308" spans="23:28" x14ac:dyDescent="0.2">
      <c r="W308" s="152"/>
      <c r="X308" s="119" t="str">
        <f t="shared" si="12"/>
        <v>1D</v>
      </c>
      <c r="Y308" s="112" t="e">
        <f>_xll.qlCalendarAdvance(Calendar,Y307,X308,"f",FALSE)</f>
        <v>#VALUE!</v>
      </c>
      <c r="Z308" s="114" t="e">
        <f>_xll.qlCalendarAdvance(Calendar,Y308,0&amp;"D")</f>
        <v>#VALUE!</v>
      </c>
      <c r="AA308" s="115" t="e">
        <f ca="1"/>
        <v>#N/A</v>
      </c>
      <c r="AB308" s="151"/>
    </row>
    <row r="309" spans="23:28" x14ac:dyDescent="0.2">
      <c r="W309" s="152"/>
      <c r="X309" s="119" t="str">
        <f t="shared" si="12"/>
        <v>1D</v>
      </c>
      <c r="Y309" s="112" t="e">
        <f>_xll.qlCalendarAdvance(Calendar,Y308,X309,"f",FALSE)</f>
        <v>#VALUE!</v>
      </c>
      <c r="Z309" s="114" t="e">
        <f>_xll.qlCalendarAdvance(Calendar,Y309,0&amp;"D")</f>
        <v>#VALUE!</v>
      </c>
      <c r="AA309" s="115" t="e">
        <f ca="1"/>
        <v>#N/A</v>
      </c>
      <c r="AB309" s="151"/>
    </row>
    <row r="310" spans="23:28" x14ac:dyDescent="0.2">
      <c r="W310" s="152"/>
      <c r="X310" s="119" t="str">
        <f t="shared" si="12"/>
        <v>1D</v>
      </c>
      <c r="Y310" s="112" t="e">
        <f>_xll.qlCalendarAdvance(Calendar,Y309,X310,"f",FALSE)</f>
        <v>#VALUE!</v>
      </c>
      <c r="Z310" s="114" t="e">
        <f>_xll.qlCalendarAdvance(Calendar,Y310,0&amp;"D")</f>
        <v>#VALUE!</v>
      </c>
      <c r="AA310" s="115" t="e">
        <f ca="1"/>
        <v>#N/A</v>
      </c>
      <c r="AB310" s="151"/>
    </row>
    <row r="311" spans="23:28" x14ac:dyDescent="0.2">
      <c r="W311" s="152"/>
      <c r="X311" s="119" t="str">
        <f t="shared" si="12"/>
        <v>1D</v>
      </c>
      <c r="Y311" s="112" t="e">
        <f>_xll.qlCalendarAdvance(Calendar,Y310,X311,"f",FALSE)</f>
        <v>#VALUE!</v>
      </c>
      <c r="Z311" s="114" t="e">
        <f>_xll.qlCalendarAdvance(Calendar,Y311,0&amp;"D")</f>
        <v>#VALUE!</v>
      </c>
      <c r="AA311" s="115" t="e">
        <f ca="1"/>
        <v>#N/A</v>
      </c>
      <c r="AB311" s="151"/>
    </row>
    <row r="312" spans="23:28" x14ac:dyDescent="0.2">
      <c r="W312" s="152"/>
      <c r="X312" s="119" t="str">
        <f t="shared" si="12"/>
        <v>1D</v>
      </c>
      <c r="Y312" s="112" t="e">
        <f>_xll.qlCalendarAdvance(Calendar,Y311,X312,"f",FALSE)</f>
        <v>#VALUE!</v>
      </c>
      <c r="Z312" s="114" t="e">
        <f>_xll.qlCalendarAdvance(Calendar,Y312,0&amp;"D")</f>
        <v>#VALUE!</v>
      </c>
      <c r="AA312" s="115" t="e">
        <f ca="1"/>
        <v>#N/A</v>
      </c>
      <c r="AB312" s="151"/>
    </row>
    <row r="313" spans="23:28" x14ac:dyDescent="0.2">
      <c r="W313" s="152"/>
      <c r="X313" s="119" t="str">
        <f t="shared" si="12"/>
        <v>1D</v>
      </c>
      <c r="Y313" s="112" t="e">
        <f>_xll.qlCalendarAdvance(Calendar,Y312,X313,"f",FALSE)</f>
        <v>#VALUE!</v>
      </c>
      <c r="Z313" s="114" t="e">
        <f>_xll.qlCalendarAdvance(Calendar,Y313,0&amp;"D")</f>
        <v>#VALUE!</v>
      </c>
      <c r="AA313" s="115" t="e">
        <f ca="1"/>
        <v>#N/A</v>
      </c>
      <c r="AB313" s="151"/>
    </row>
    <row r="314" spans="23:28" x14ac:dyDescent="0.2">
      <c r="W314" s="152"/>
      <c r="X314" s="119" t="str">
        <f t="shared" si="12"/>
        <v>1D</v>
      </c>
      <c r="Y314" s="112" t="e">
        <f>_xll.qlCalendarAdvance(Calendar,Y313,X314,"f",FALSE)</f>
        <v>#VALUE!</v>
      </c>
      <c r="Z314" s="114" t="e">
        <f>_xll.qlCalendarAdvance(Calendar,Y314,0&amp;"D")</f>
        <v>#VALUE!</v>
      </c>
      <c r="AA314" s="115" t="e">
        <f ca="1"/>
        <v>#N/A</v>
      </c>
      <c r="AB314" s="151"/>
    </row>
    <row r="315" spans="23:28" x14ac:dyDescent="0.2">
      <c r="W315" s="152"/>
      <c r="X315" s="119" t="str">
        <f t="shared" si="12"/>
        <v>1D</v>
      </c>
      <c r="Y315" s="112" t="e">
        <f>_xll.qlCalendarAdvance(Calendar,Y314,X315,"f",FALSE)</f>
        <v>#VALUE!</v>
      </c>
      <c r="Z315" s="114" t="e">
        <f>_xll.qlCalendarAdvance(Calendar,Y315,0&amp;"D")</f>
        <v>#VALUE!</v>
      </c>
      <c r="AA315" s="115" t="e">
        <f ca="1"/>
        <v>#N/A</v>
      </c>
      <c r="AB315" s="151"/>
    </row>
    <row r="316" spans="23:28" x14ac:dyDescent="0.2">
      <c r="W316" s="152"/>
      <c r="X316" s="119" t="str">
        <f t="shared" si="12"/>
        <v>1D</v>
      </c>
      <c r="Y316" s="112" t="e">
        <f>_xll.qlCalendarAdvance(Calendar,Y315,X316,"f",FALSE)</f>
        <v>#VALUE!</v>
      </c>
      <c r="Z316" s="114" t="e">
        <f>_xll.qlCalendarAdvance(Calendar,Y316,0&amp;"D")</f>
        <v>#VALUE!</v>
      </c>
      <c r="AA316" s="115" t="e">
        <f ca="1"/>
        <v>#N/A</v>
      </c>
      <c r="AB316" s="151"/>
    </row>
    <row r="317" spans="23:28" x14ac:dyDescent="0.2">
      <c r="W317" s="152"/>
      <c r="X317" s="119" t="str">
        <f t="shared" si="12"/>
        <v>1D</v>
      </c>
      <c r="Y317" s="112" t="e">
        <f>_xll.qlCalendarAdvance(Calendar,Y316,X317,"f",FALSE)</f>
        <v>#VALUE!</v>
      </c>
      <c r="Z317" s="114" t="e">
        <f>_xll.qlCalendarAdvance(Calendar,Y317,0&amp;"D")</f>
        <v>#VALUE!</v>
      </c>
      <c r="AA317" s="115" t="e">
        <f ca="1"/>
        <v>#N/A</v>
      </c>
      <c r="AB317" s="151"/>
    </row>
    <row r="318" spans="23:28" x14ac:dyDescent="0.2">
      <c r="W318" s="152"/>
      <c r="X318" s="119" t="str">
        <f t="shared" si="12"/>
        <v>1D</v>
      </c>
      <c r="Y318" s="112" t="e">
        <f>_xll.qlCalendarAdvance(Calendar,Y317,X318,"f",FALSE)</f>
        <v>#VALUE!</v>
      </c>
      <c r="Z318" s="114" t="e">
        <f>_xll.qlCalendarAdvance(Calendar,Y318,0&amp;"D")</f>
        <v>#VALUE!</v>
      </c>
      <c r="AA318" s="115" t="e">
        <f ca="1"/>
        <v>#N/A</v>
      </c>
      <c r="AB318" s="151"/>
    </row>
    <row r="319" spans="23:28" x14ac:dyDescent="0.2">
      <c r="W319" s="152"/>
      <c r="X319" s="119" t="str">
        <f t="shared" si="12"/>
        <v>1D</v>
      </c>
      <c r="Y319" s="112" t="e">
        <f>_xll.qlCalendarAdvance(Calendar,Y318,X319,"f",FALSE)</f>
        <v>#VALUE!</v>
      </c>
      <c r="Z319" s="114" t="e">
        <f>_xll.qlCalendarAdvance(Calendar,Y319,0&amp;"D")</f>
        <v>#VALUE!</v>
      </c>
      <c r="AA319" s="115" t="e">
        <f ca="1"/>
        <v>#N/A</v>
      </c>
      <c r="AB319" s="151"/>
    </row>
    <row r="320" spans="23:28" x14ac:dyDescent="0.2">
      <c r="W320" s="152"/>
      <c r="X320" s="119" t="str">
        <f t="shared" si="12"/>
        <v>1D</v>
      </c>
      <c r="Y320" s="112" t="e">
        <f>_xll.qlCalendarAdvance(Calendar,Y319,X320,"f",FALSE)</f>
        <v>#VALUE!</v>
      </c>
      <c r="Z320" s="114" t="e">
        <f>_xll.qlCalendarAdvance(Calendar,Y320,0&amp;"D")</f>
        <v>#VALUE!</v>
      </c>
      <c r="AA320" s="115" t="e">
        <f ca="1"/>
        <v>#N/A</v>
      </c>
      <c r="AB320" s="151"/>
    </row>
    <row r="321" spans="23:28" x14ac:dyDescent="0.2">
      <c r="W321" s="152"/>
      <c r="X321" s="119" t="str">
        <f t="shared" si="12"/>
        <v>1D</v>
      </c>
      <c r="Y321" s="112" t="e">
        <f>_xll.qlCalendarAdvance(Calendar,Y320,X321,"f",FALSE)</f>
        <v>#VALUE!</v>
      </c>
      <c r="Z321" s="114" t="e">
        <f>_xll.qlCalendarAdvance(Calendar,Y321,0&amp;"D")</f>
        <v>#VALUE!</v>
      </c>
      <c r="AA321" s="115" t="e">
        <f ca="1"/>
        <v>#N/A</v>
      </c>
      <c r="AB321" s="151"/>
    </row>
    <row r="322" spans="23:28" x14ac:dyDescent="0.2">
      <c r="W322" s="152"/>
      <c r="X322" s="119" t="str">
        <f t="shared" si="12"/>
        <v>1D</v>
      </c>
      <c r="Y322" s="112" t="e">
        <f>_xll.qlCalendarAdvance(Calendar,Y321,X322,"f",FALSE)</f>
        <v>#VALUE!</v>
      </c>
      <c r="Z322" s="114" t="e">
        <f>_xll.qlCalendarAdvance(Calendar,Y322,0&amp;"D")</f>
        <v>#VALUE!</v>
      </c>
      <c r="AA322" s="115" t="e">
        <f ca="1"/>
        <v>#N/A</v>
      </c>
      <c r="AB322" s="151"/>
    </row>
    <row r="323" spans="23:28" x14ac:dyDescent="0.2">
      <c r="W323" s="152"/>
      <c r="X323" s="119" t="str">
        <f t="shared" si="12"/>
        <v>1D</v>
      </c>
      <c r="Y323" s="112" t="e">
        <f>_xll.qlCalendarAdvance(Calendar,Y322,X323,"f",FALSE)</f>
        <v>#VALUE!</v>
      </c>
      <c r="Z323" s="114" t="e">
        <f>_xll.qlCalendarAdvance(Calendar,Y323,0&amp;"D")</f>
        <v>#VALUE!</v>
      </c>
      <c r="AA323" s="115" t="e">
        <f ca="1"/>
        <v>#N/A</v>
      </c>
      <c r="AB323" s="151"/>
    </row>
    <row r="324" spans="23:28" x14ac:dyDescent="0.2">
      <c r="W324" s="152"/>
      <c r="X324" s="119" t="str">
        <f t="shared" si="12"/>
        <v>1D</v>
      </c>
      <c r="Y324" s="112" t="e">
        <f>_xll.qlCalendarAdvance(Calendar,Y323,X324,"f",FALSE)</f>
        <v>#VALUE!</v>
      </c>
      <c r="Z324" s="114" t="e">
        <f>_xll.qlCalendarAdvance(Calendar,Y324,0&amp;"D")</f>
        <v>#VALUE!</v>
      </c>
      <c r="AA324" s="115" t="e">
        <f ca="1"/>
        <v>#N/A</v>
      </c>
      <c r="AB324" s="151"/>
    </row>
    <row r="325" spans="23:28" x14ac:dyDescent="0.2">
      <c r="W325" s="152"/>
      <c r="X325" s="119" t="str">
        <f t="shared" si="12"/>
        <v>1D</v>
      </c>
      <c r="Y325" s="112" t="e">
        <f>_xll.qlCalendarAdvance(Calendar,Y324,X325,"f",FALSE)</f>
        <v>#VALUE!</v>
      </c>
      <c r="Z325" s="114" t="e">
        <f>_xll.qlCalendarAdvance(Calendar,Y325,0&amp;"D")</f>
        <v>#VALUE!</v>
      </c>
      <c r="AA325" s="115" t="e">
        <f ca="1"/>
        <v>#N/A</v>
      </c>
      <c r="AB325" s="151"/>
    </row>
    <row r="326" spans="23:28" x14ac:dyDescent="0.2">
      <c r="W326" s="152"/>
      <c r="X326" s="119" t="str">
        <f t="shared" si="12"/>
        <v>1D</v>
      </c>
      <c r="Y326" s="112" t="e">
        <f>_xll.qlCalendarAdvance(Calendar,Y325,X326,"f",FALSE)</f>
        <v>#VALUE!</v>
      </c>
      <c r="Z326" s="114" t="e">
        <f>_xll.qlCalendarAdvance(Calendar,Y326,0&amp;"D")</f>
        <v>#VALUE!</v>
      </c>
      <c r="AA326" s="115" t="e">
        <f ca="1"/>
        <v>#N/A</v>
      </c>
      <c r="AB326" s="151"/>
    </row>
    <row r="327" spans="23:28" x14ac:dyDescent="0.2">
      <c r="W327" s="152"/>
      <c r="X327" s="119" t="str">
        <f t="shared" si="12"/>
        <v>1D</v>
      </c>
      <c r="Y327" s="112" t="e">
        <f>_xll.qlCalendarAdvance(Calendar,Y326,X327,"f",FALSE)</f>
        <v>#VALUE!</v>
      </c>
      <c r="Z327" s="114" t="e">
        <f>_xll.qlCalendarAdvance(Calendar,Y327,0&amp;"D")</f>
        <v>#VALUE!</v>
      </c>
      <c r="AA327" s="115" t="e">
        <f ca="1"/>
        <v>#N/A</v>
      </c>
      <c r="AB327" s="151"/>
    </row>
    <row r="328" spans="23:28" x14ac:dyDescent="0.2">
      <c r="W328" s="152"/>
      <c r="X328" s="119" t="str">
        <f t="shared" si="12"/>
        <v>1D</v>
      </c>
      <c r="Y328" s="112" t="e">
        <f>_xll.qlCalendarAdvance(Calendar,Y327,X328,"f",FALSE)</f>
        <v>#VALUE!</v>
      </c>
      <c r="Z328" s="114" t="e">
        <f>_xll.qlCalendarAdvance(Calendar,Y328,0&amp;"D")</f>
        <v>#VALUE!</v>
      </c>
      <c r="AA328" s="115" t="e">
        <f ca="1"/>
        <v>#N/A</v>
      </c>
      <c r="AB328" s="151"/>
    </row>
    <row r="329" spans="23:28" x14ac:dyDescent="0.2">
      <c r="W329" s="152"/>
      <c r="X329" s="119" t="str">
        <f t="shared" si="12"/>
        <v>1D</v>
      </c>
      <c r="Y329" s="112" t="e">
        <f>_xll.qlCalendarAdvance(Calendar,Y328,X329,"f",FALSE)</f>
        <v>#VALUE!</v>
      </c>
      <c r="Z329" s="114" t="e">
        <f>_xll.qlCalendarAdvance(Calendar,Y329,0&amp;"D")</f>
        <v>#VALUE!</v>
      </c>
      <c r="AA329" s="115" t="e">
        <f ca="1"/>
        <v>#N/A</v>
      </c>
      <c r="AB329" s="151"/>
    </row>
    <row r="330" spans="23:28" x14ac:dyDescent="0.2">
      <c r="W330" s="152"/>
      <c r="X330" s="119" t="str">
        <f t="shared" si="12"/>
        <v>1D</v>
      </c>
      <c r="Y330" s="112" t="e">
        <f>_xll.qlCalendarAdvance(Calendar,Y329,X330,"f",FALSE)</f>
        <v>#VALUE!</v>
      </c>
      <c r="Z330" s="114" t="e">
        <f>_xll.qlCalendarAdvance(Calendar,Y330,0&amp;"D")</f>
        <v>#VALUE!</v>
      </c>
      <c r="AA330" s="115" t="e">
        <f ca="1"/>
        <v>#N/A</v>
      </c>
      <c r="AB330" s="151"/>
    </row>
    <row r="331" spans="23:28" x14ac:dyDescent="0.2">
      <c r="W331" s="152"/>
      <c r="X331" s="119" t="str">
        <f t="shared" si="12"/>
        <v>1D</v>
      </c>
      <c r="Y331" s="112" t="e">
        <f>_xll.qlCalendarAdvance(Calendar,Y330,X331,"f",FALSE)</f>
        <v>#VALUE!</v>
      </c>
      <c r="Z331" s="114" t="e">
        <f>_xll.qlCalendarAdvance(Calendar,Y331,0&amp;"D")</f>
        <v>#VALUE!</v>
      </c>
      <c r="AA331" s="115" t="e">
        <f ca="1"/>
        <v>#N/A</v>
      </c>
      <c r="AB331" s="151"/>
    </row>
    <row r="332" spans="23:28" x14ac:dyDescent="0.2">
      <c r="W332" s="152"/>
      <c r="X332" s="119" t="str">
        <f t="shared" si="12"/>
        <v>1D</v>
      </c>
      <c r="Y332" s="112" t="e">
        <f>_xll.qlCalendarAdvance(Calendar,Y331,X332,"f",FALSE)</f>
        <v>#VALUE!</v>
      </c>
      <c r="Z332" s="114" t="e">
        <f>_xll.qlCalendarAdvance(Calendar,Y332,0&amp;"D")</f>
        <v>#VALUE!</v>
      </c>
      <c r="AA332" s="115" t="e">
        <f ca="1"/>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f ca="1"/>
        <v>#N/A</v>
      </c>
      <c r="AB333" s="151"/>
    </row>
    <row r="334" spans="23:28" x14ac:dyDescent="0.2">
      <c r="W334" s="152"/>
      <c r="X334" s="119" t="str">
        <f t="shared" si="13"/>
        <v>1D</v>
      </c>
      <c r="Y334" s="112" t="e">
        <f>_xll.qlCalendarAdvance(Calendar,Y333,X334,"f",FALSE)</f>
        <v>#VALUE!</v>
      </c>
      <c r="Z334" s="114" t="e">
        <f>_xll.qlCalendarAdvance(Calendar,Y334,0&amp;"D")</f>
        <v>#VALUE!</v>
      </c>
      <c r="AA334" s="115" t="e">
        <f ca="1"/>
        <v>#N/A</v>
      </c>
      <c r="AB334" s="151"/>
    </row>
    <row r="335" spans="23:28" x14ac:dyDescent="0.2">
      <c r="W335" s="152"/>
      <c r="X335" s="119" t="str">
        <f t="shared" si="13"/>
        <v>1D</v>
      </c>
      <c r="Y335" s="112" t="e">
        <f>_xll.qlCalendarAdvance(Calendar,Y334,X335,"f",FALSE)</f>
        <v>#VALUE!</v>
      </c>
      <c r="Z335" s="114" t="e">
        <f>_xll.qlCalendarAdvance(Calendar,Y335,0&amp;"D")</f>
        <v>#VALUE!</v>
      </c>
      <c r="AA335" s="115" t="e">
        <f ca="1"/>
        <v>#N/A</v>
      </c>
      <c r="AB335" s="151"/>
    </row>
    <row r="336" spans="23:28" x14ac:dyDescent="0.2">
      <c r="W336" s="152"/>
      <c r="X336" s="119" t="str">
        <f t="shared" si="13"/>
        <v>1D</v>
      </c>
      <c r="Y336" s="112" t="e">
        <f>_xll.qlCalendarAdvance(Calendar,Y335,X336,"f",FALSE)</f>
        <v>#VALUE!</v>
      </c>
      <c r="Z336" s="114" t="e">
        <f>_xll.qlCalendarAdvance(Calendar,Y336,0&amp;"D")</f>
        <v>#VALUE!</v>
      </c>
      <c r="AA336" s="115" t="e">
        <f ca="1"/>
        <v>#N/A</v>
      </c>
      <c r="AB336" s="151"/>
    </row>
    <row r="337" spans="23:28" x14ac:dyDescent="0.2">
      <c r="W337" s="152"/>
      <c r="X337" s="119" t="str">
        <f t="shared" si="13"/>
        <v>1D</v>
      </c>
      <c r="Y337" s="112" t="e">
        <f>_xll.qlCalendarAdvance(Calendar,Y336,X337,"f",FALSE)</f>
        <v>#VALUE!</v>
      </c>
      <c r="Z337" s="114" t="e">
        <f>_xll.qlCalendarAdvance(Calendar,Y337,0&amp;"D")</f>
        <v>#VALUE!</v>
      </c>
      <c r="AA337" s="115" t="e">
        <f ca="1"/>
        <v>#N/A</v>
      </c>
      <c r="AB337" s="151"/>
    </row>
    <row r="338" spans="23:28" x14ac:dyDescent="0.2">
      <c r="W338" s="152"/>
      <c r="X338" s="119" t="str">
        <f t="shared" si="13"/>
        <v>1D</v>
      </c>
      <c r="Y338" s="112" t="e">
        <f>_xll.qlCalendarAdvance(Calendar,Y337,X338,"f",FALSE)</f>
        <v>#VALUE!</v>
      </c>
      <c r="Z338" s="114" t="e">
        <f>_xll.qlCalendarAdvance(Calendar,Y338,0&amp;"D")</f>
        <v>#VALUE!</v>
      </c>
      <c r="AA338" s="115" t="e">
        <f ca="1"/>
        <v>#N/A</v>
      </c>
      <c r="AB338" s="151"/>
    </row>
    <row r="339" spans="23:28" x14ac:dyDescent="0.2">
      <c r="W339" s="152"/>
      <c r="X339" s="119" t="str">
        <f t="shared" si="13"/>
        <v>1D</v>
      </c>
      <c r="Y339" s="112" t="e">
        <f>_xll.qlCalendarAdvance(Calendar,Y338,X339,"f",FALSE)</f>
        <v>#VALUE!</v>
      </c>
      <c r="Z339" s="114" t="e">
        <f>_xll.qlCalendarAdvance(Calendar,Y339,0&amp;"D")</f>
        <v>#VALUE!</v>
      </c>
      <c r="AA339" s="115" t="e">
        <f ca="1"/>
        <v>#N/A</v>
      </c>
      <c r="AB339" s="151"/>
    </row>
    <row r="340" spans="23:28" x14ac:dyDescent="0.2">
      <c r="W340" s="152"/>
      <c r="X340" s="119" t="str">
        <f t="shared" si="13"/>
        <v>1D</v>
      </c>
      <c r="Y340" s="112" t="e">
        <f>_xll.qlCalendarAdvance(Calendar,Y339,X340,"f",FALSE)</f>
        <v>#VALUE!</v>
      </c>
      <c r="Z340" s="114" t="e">
        <f>_xll.qlCalendarAdvance(Calendar,Y340,0&amp;"D")</f>
        <v>#VALUE!</v>
      </c>
      <c r="AA340" s="115" t="e">
        <f ca="1"/>
        <v>#N/A</v>
      </c>
      <c r="AB340" s="151"/>
    </row>
    <row r="341" spans="23:28" x14ac:dyDescent="0.2">
      <c r="W341" s="152"/>
      <c r="X341" s="119" t="str">
        <f t="shared" si="13"/>
        <v>1D</v>
      </c>
      <c r="Y341" s="112" t="e">
        <f>_xll.qlCalendarAdvance(Calendar,Y340,X341,"f",FALSE)</f>
        <v>#VALUE!</v>
      </c>
      <c r="Z341" s="114" t="e">
        <f>_xll.qlCalendarAdvance(Calendar,Y341,0&amp;"D")</f>
        <v>#VALUE!</v>
      </c>
      <c r="AA341" s="115" t="e">
        <f ca="1"/>
        <v>#N/A</v>
      </c>
      <c r="AB341" s="151"/>
    </row>
    <row r="342" spans="23:28" x14ac:dyDescent="0.2">
      <c r="W342" s="152"/>
      <c r="X342" s="119" t="str">
        <f t="shared" si="13"/>
        <v>1D</v>
      </c>
      <c r="Y342" s="112" t="e">
        <f>_xll.qlCalendarAdvance(Calendar,Y341,X342,"f",FALSE)</f>
        <v>#VALUE!</v>
      </c>
      <c r="Z342" s="114" t="e">
        <f>_xll.qlCalendarAdvance(Calendar,Y342,0&amp;"D")</f>
        <v>#VALUE!</v>
      </c>
      <c r="AA342" s="115" t="e">
        <f ca="1"/>
        <v>#N/A</v>
      </c>
      <c r="AB342" s="151"/>
    </row>
    <row r="343" spans="23:28" x14ac:dyDescent="0.2">
      <c r="W343" s="152"/>
      <c r="X343" s="119" t="str">
        <f t="shared" si="13"/>
        <v>1D</v>
      </c>
      <c r="Y343" s="112" t="e">
        <f>_xll.qlCalendarAdvance(Calendar,Y342,X343,"f",FALSE)</f>
        <v>#VALUE!</v>
      </c>
      <c r="Z343" s="114" t="e">
        <f>_xll.qlCalendarAdvance(Calendar,Y343,0&amp;"D")</f>
        <v>#VALUE!</v>
      </c>
      <c r="AA343" s="115" t="e">
        <f ca="1"/>
        <v>#N/A</v>
      </c>
      <c r="AB343" s="151"/>
    </row>
    <row r="344" spans="23:28" x14ac:dyDescent="0.2">
      <c r="W344" s="152"/>
      <c r="X344" s="119" t="str">
        <f t="shared" si="13"/>
        <v>1D</v>
      </c>
      <c r="Y344" s="112" t="e">
        <f>_xll.qlCalendarAdvance(Calendar,Y343,X344,"f",FALSE)</f>
        <v>#VALUE!</v>
      </c>
      <c r="Z344" s="114" t="e">
        <f>_xll.qlCalendarAdvance(Calendar,Y344,0&amp;"D")</f>
        <v>#VALUE!</v>
      </c>
      <c r="AA344" s="115" t="e">
        <f ca="1"/>
        <v>#N/A</v>
      </c>
      <c r="AB344" s="151"/>
    </row>
    <row r="345" spans="23:28" x14ac:dyDescent="0.2">
      <c r="W345" s="152"/>
      <c r="X345" s="119" t="str">
        <f t="shared" si="13"/>
        <v>1D</v>
      </c>
      <c r="Y345" s="112" t="e">
        <f>_xll.qlCalendarAdvance(Calendar,Y344,X345,"f",FALSE)</f>
        <v>#VALUE!</v>
      </c>
      <c r="Z345" s="114" t="e">
        <f>_xll.qlCalendarAdvance(Calendar,Y345,0&amp;"D")</f>
        <v>#VALUE!</v>
      </c>
      <c r="AA345" s="115" t="e">
        <f ca="1"/>
        <v>#N/A</v>
      </c>
      <c r="AB345" s="151"/>
    </row>
    <row r="346" spans="23:28" x14ac:dyDescent="0.2">
      <c r="W346" s="152"/>
      <c r="X346" s="119" t="str">
        <f t="shared" si="13"/>
        <v>1D</v>
      </c>
      <c r="Y346" s="112" t="e">
        <f>_xll.qlCalendarAdvance(Calendar,Y345,X346,"f",FALSE)</f>
        <v>#VALUE!</v>
      </c>
      <c r="Z346" s="114" t="e">
        <f>_xll.qlCalendarAdvance(Calendar,Y346,0&amp;"D")</f>
        <v>#VALUE!</v>
      </c>
      <c r="AA346" s="115" t="e">
        <f ca="1"/>
        <v>#N/A</v>
      </c>
      <c r="AB346" s="151"/>
    </row>
    <row r="347" spans="23:28" x14ac:dyDescent="0.2">
      <c r="W347" s="152"/>
      <c r="X347" s="119" t="str">
        <f t="shared" si="13"/>
        <v>1D</v>
      </c>
      <c r="Y347" s="112" t="e">
        <f>_xll.qlCalendarAdvance(Calendar,Y346,X347,"f",FALSE)</f>
        <v>#VALUE!</v>
      </c>
      <c r="Z347" s="114" t="e">
        <f>_xll.qlCalendarAdvance(Calendar,Y347,0&amp;"D")</f>
        <v>#VALUE!</v>
      </c>
      <c r="AA347" s="115" t="e">
        <f ca="1"/>
        <v>#N/A</v>
      </c>
      <c r="AB347" s="151"/>
    </row>
    <row r="348" spans="23:28" x14ac:dyDescent="0.2">
      <c r="W348" s="152"/>
      <c r="X348" s="119" t="str">
        <f t="shared" si="13"/>
        <v>1D</v>
      </c>
      <c r="Y348" s="112" t="e">
        <f>_xll.qlCalendarAdvance(Calendar,Y347,X348,"f",FALSE)</f>
        <v>#VALUE!</v>
      </c>
      <c r="Z348" s="114" t="e">
        <f>_xll.qlCalendarAdvance(Calendar,Y348,0&amp;"D")</f>
        <v>#VALUE!</v>
      </c>
      <c r="AA348" s="115" t="e">
        <f ca="1"/>
        <v>#N/A</v>
      </c>
      <c r="AB348" s="151"/>
    </row>
    <row r="349" spans="23:28" x14ac:dyDescent="0.2">
      <c r="W349" s="152"/>
      <c r="X349" s="119" t="str">
        <f t="shared" si="13"/>
        <v>1D</v>
      </c>
      <c r="Y349" s="112" t="e">
        <f>_xll.qlCalendarAdvance(Calendar,Y348,X349,"f",FALSE)</f>
        <v>#VALUE!</v>
      </c>
      <c r="Z349" s="114" t="e">
        <f>_xll.qlCalendarAdvance(Calendar,Y349,0&amp;"D")</f>
        <v>#VALUE!</v>
      </c>
      <c r="AA349" s="115" t="e">
        <f ca="1"/>
        <v>#N/A</v>
      </c>
      <c r="AB349" s="151"/>
    </row>
    <row r="350" spans="23:28" x14ac:dyDescent="0.2">
      <c r="W350" s="152"/>
      <c r="X350" s="119" t="str">
        <f t="shared" si="13"/>
        <v>1D</v>
      </c>
      <c r="Y350" s="112" t="e">
        <f>_xll.qlCalendarAdvance(Calendar,Y349,X350,"f",FALSE)</f>
        <v>#VALUE!</v>
      </c>
      <c r="Z350" s="114" t="e">
        <f>_xll.qlCalendarAdvance(Calendar,Y350,0&amp;"D")</f>
        <v>#VALUE!</v>
      </c>
      <c r="AA350" s="115" t="e">
        <f ca="1"/>
        <v>#N/A</v>
      </c>
      <c r="AB350" s="151"/>
    </row>
    <row r="351" spans="23:28" x14ac:dyDescent="0.2">
      <c r="W351" s="152"/>
      <c r="X351" s="119" t="str">
        <f t="shared" si="13"/>
        <v>1D</v>
      </c>
      <c r="Y351" s="112" t="e">
        <f>_xll.qlCalendarAdvance(Calendar,Y350,X351,"f",FALSE)</f>
        <v>#VALUE!</v>
      </c>
      <c r="Z351" s="114" t="e">
        <f>_xll.qlCalendarAdvance(Calendar,Y351,0&amp;"D")</f>
        <v>#VALUE!</v>
      </c>
      <c r="AA351" s="115" t="e">
        <f ca="1"/>
        <v>#N/A</v>
      </c>
      <c r="AB351" s="151"/>
    </row>
    <row r="352" spans="23:28" x14ac:dyDescent="0.2">
      <c r="W352" s="152"/>
      <c r="X352" s="119" t="str">
        <f t="shared" si="13"/>
        <v>1D</v>
      </c>
      <c r="Y352" s="112" t="e">
        <f>_xll.qlCalendarAdvance(Calendar,Y351,X352,"f",FALSE)</f>
        <v>#VALUE!</v>
      </c>
      <c r="Z352" s="114" t="e">
        <f>_xll.qlCalendarAdvance(Calendar,Y352,0&amp;"D")</f>
        <v>#VALUE!</v>
      </c>
      <c r="AA352" s="115" t="e">
        <f ca="1"/>
        <v>#N/A</v>
      </c>
      <c r="AB352" s="151"/>
    </row>
    <row r="353" spans="23:28" x14ac:dyDescent="0.2">
      <c r="W353" s="152"/>
      <c r="X353" s="119" t="str">
        <f t="shared" si="13"/>
        <v>1D</v>
      </c>
      <c r="Y353" s="112" t="e">
        <f>_xll.qlCalendarAdvance(Calendar,Y352,X353,"f",FALSE)</f>
        <v>#VALUE!</v>
      </c>
      <c r="Z353" s="114" t="e">
        <f>_xll.qlCalendarAdvance(Calendar,Y353,0&amp;"D")</f>
        <v>#VALUE!</v>
      </c>
      <c r="AA353" s="115" t="e">
        <f ca="1"/>
        <v>#N/A</v>
      </c>
      <c r="AB353" s="151"/>
    </row>
    <row r="354" spans="23:28" x14ac:dyDescent="0.2">
      <c r="W354" s="152"/>
      <c r="X354" s="119" t="str">
        <f t="shared" si="13"/>
        <v>1D</v>
      </c>
      <c r="Y354" s="112" t="e">
        <f>_xll.qlCalendarAdvance(Calendar,Y353,X354,"f",FALSE)</f>
        <v>#VALUE!</v>
      </c>
      <c r="Z354" s="114" t="e">
        <f>_xll.qlCalendarAdvance(Calendar,Y354,0&amp;"D")</f>
        <v>#VALUE!</v>
      </c>
      <c r="AA354" s="115" t="e">
        <f ca="1"/>
        <v>#N/A</v>
      </c>
      <c r="AB354" s="151"/>
    </row>
    <row r="355" spans="23:28" x14ac:dyDescent="0.2">
      <c r="W355" s="152"/>
      <c r="X355" s="119" t="str">
        <f t="shared" si="13"/>
        <v>1D</v>
      </c>
      <c r="Y355" s="112" t="e">
        <f>_xll.qlCalendarAdvance(Calendar,Y354,X355,"f",FALSE)</f>
        <v>#VALUE!</v>
      </c>
      <c r="Z355" s="114" t="e">
        <f>_xll.qlCalendarAdvance(Calendar,Y355,0&amp;"D")</f>
        <v>#VALUE!</v>
      </c>
      <c r="AA355" s="115" t="e">
        <f ca="1"/>
        <v>#N/A</v>
      </c>
      <c r="AB355" s="151"/>
    </row>
    <row r="356" spans="23:28" x14ac:dyDescent="0.2">
      <c r="W356" s="152"/>
      <c r="X356" s="119" t="str">
        <f t="shared" si="13"/>
        <v>1D</v>
      </c>
      <c r="Y356" s="112" t="e">
        <f>_xll.qlCalendarAdvance(Calendar,Y355,X356,"f",FALSE)</f>
        <v>#VALUE!</v>
      </c>
      <c r="Z356" s="114" t="e">
        <f>_xll.qlCalendarAdvance(Calendar,Y356,0&amp;"D")</f>
        <v>#VALUE!</v>
      </c>
      <c r="AA356" s="115" t="e">
        <f ca="1"/>
        <v>#N/A</v>
      </c>
      <c r="AB356" s="151"/>
    </row>
    <row r="357" spans="23:28" x14ac:dyDescent="0.2">
      <c r="W357" s="152"/>
      <c r="X357" s="119" t="str">
        <f t="shared" si="13"/>
        <v>1D</v>
      </c>
      <c r="Y357" s="112" t="e">
        <f>_xll.qlCalendarAdvance(Calendar,Y356,X357,"f",FALSE)</f>
        <v>#VALUE!</v>
      </c>
      <c r="Z357" s="114" t="e">
        <f>_xll.qlCalendarAdvance(Calendar,Y357,0&amp;"D")</f>
        <v>#VALUE!</v>
      </c>
      <c r="AA357" s="115" t="e">
        <f ca="1"/>
        <v>#N/A</v>
      </c>
      <c r="AB357" s="151"/>
    </row>
    <row r="358" spans="23:28" x14ac:dyDescent="0.2">
      <c r="W358" s="152"/>
      <c r="X358" s="119" t="str">
        <f t="shared" si="13"/>
        <v>1D</v>
      </c>
      <c r="Y358" s="112" t="e">
        <f>_xll.qlCalendarAdvance(Calendar,Y357,X358,"f",FALSE)</f>
        <v>#VALUE!</v>
      </c>
      <c r="Z358" s="114" t="e">
        <f>_xll.qlCalendarAdvance(Calendar,Y358,0&amp;"D")</f>
        <v>#VALUE!</v>
      </c>
      <c r="AA358" s="115" t="e">
        <f ca="1"/>
        <v>#N/A</v>
      </c>
      <c r="AB358" s="151"/>
    </row>
    <row r="359" spans="23:28" x14ac:dyDescent="0.2">
      <c r="W359" s="152"/>
      <c r="X359" s="119" t="str">
        <f t="shared" si="13"/>
        <v>1D</v>
      </c>
      <c r="Y359" s="112" t="e">
        <f>_xll.qlCalendarAdvance(Calendar,Y358,X359,"f",FALSE)</f>
        <v>#VALUE!</v>
      </c>
      <c r="Z359" s="114" t="e">
        <f>_xll.qlCalendarAdvance(Calendar,Y359,0&amp;"D")</f>
        <v>#VALUE!</v>
      </c>
      <c r="AA359" s="115" t="e">
        <f ca="1"/>
        <v>#N/A</v>
      </c>
      <c r="AB359" s="151"/>
    </row>
    <row r="360" spans="23:28" x14ac:dyDescent="0.2">
      <c r="W360" s="152"/>
      <c r="X360" s="119" t="str">
        <f t="shared" si="13"/>
        <v>1D</v>
      </c>
      <c r="Y360" s="112" t="e">
        <f>_xll.qlCalendarAdvance(Calendar,Y359,X360,"f",FALSE)</f>
        <v>#VALUE!</v>
      </c>
      <c r="Z360" s="114" t="e">
        <f>_xll.qlCalendarAdvance(Calendar,Y360,0&amp;"D")</f>
        <v>#VALUE!</v>
      </c>
      <c r="AA360" s="115" t="e">
        <f ca="1"/>
        <v>#N/A</v>
      </c>
      <c r="AB360" s="151"/>
    </row>
    <row r="361" spans="23:28" x14ac:dyDescent="0.2">
      <c r="W361" s="152"/>
      <c r="X361" s="119" t="str">
        <f t="shared" si="13"/>
        <v>1D</v>
      </c>
      <c r="Y361" s="112" t="e">
        <f>_xll.qlCalendarAdvance(Calendar,Y360,X361,"f",FALSE)</f>
        <v>#VALUE!</v>
      </c>
      <c r="Z361" s="114" t="e">
        <f>_xll.qlCalendarAdvance(Calendar,Y361,0&amp;"D")</f>
        <v>#VALUE!</v>
      </c>
      <c r="AA361" s="115" t="e">
        <f ca="1"/>
        <v>#N/A</v>
      </c>
      <c r="AB361" s="151"/>
    </row>
    <row r="362" spans="23:28" x14ac:dyDescent="0.2">
      <c r="W362" s="152"/>
      <c r="X362" s="119" t="str">
        <f t="shared" si="13"/>
        <v>1D</v>
      </c>
      <c r="Y362" s="112" t="e">
        <f>_xll.qlCalendarAdvance(Calendar,Y361,X362,"f",FALSE)</f>
        <v>#VALUE!</v>
      </c>
      <c r="Z362" s="114" t="e">
        <f>_xll.qlCalendarAdvance(Calendar,Y362,0&amp;"D")</f>
        <v>#VALUE!</v>
      </c>
      <c r="AA362" s="115" t="e">
        <f ca="1"/>
        <v>#N/A</v>
      </c>
      <c r="AB362" s="151"/>
    </row>
    <row r="363" spans="23:28" x14ac:dyDescent="0.2">
      <c r="W363" s="152"/>
      <c r="X363" s="119" t="str">
        <f t="shared" si="13"/>
        <v>1D</v>
      </c>
      <c r="Y363" s="112" t="e">
        <f>_xll.qlCalendarAdvance(Calendar,Y362,X363,"f",FALSE)</f>
        <v>#VALUE!</v>
      </c>
      <c r="Z363" s="114" t="e">
        <f>_xll.qlCalendarAdvance(Calendar,Y363,0&amp;"D")</f>
        <v>#VALUE!</v>
      </c>
      <c r="AA363" s="115" t="e">
        <f ca="1"/>
        <v>#N/A</v>
      </c>
      <c r="AB363" s="151"/>
    </row>
    <row r="364" spans="23:28" x14ac:dyDescent="0.2">
      <c r="W364" s="152"/>
      <c r="X364" s="119" t="str">
        <f t="shared" si="13"/>
        <v>1D</v>
      </c>
      <c r="Y364" s="112" t="e">
        <f>_xll.qlCalendarAdvance(Calendar,Y363,X364,"f",FALSE)</f>
        <v>#VALUE!</v>
      </c>
      <c r="Z364" s="114" t="e">
        <f>_xll.qlCalendarAdvance(Calendar,Y364,0&amp;"D")</f>
        <v>#VALUE!</v>
      </c>
      <c r="AA364" s="115" t="e">
        <f ca="1"/>
        <v>#N/A</v>
      </c>
      <c r="AB364" s="151"/>
    </row>
    <row r="365" spans="23:28" x14ac:dyDescent="0.2">
      <c r="W365" s="152"/>
      <c r="X365" s="119" t="str">
        <f t="shared" si="13"/>
        <v>1D</v>
      </c>
      <c r="Y365" s="112" t="e">
        <f>_xll.qlCalendarAdvance(Calendar,Y364,X365,"f",FALSE)</f>
        <v>#VALUE!</v>
      </c>
      <c r="Z365" s="114" t="e">
        <f>_xll.qlCalendarAdvance(Calendar,Y365,0&amp;"D")</f>
        <v>#VALUE!</v>
      </c>
      <c r="AA365" s="115" t="e">
        <f ca="1"/>
        <v>#N/A</v>
      </c>
      <c r="AB365" s="151"/>
    </row>
    <row r="366" spans="23:28" x14ac:dyDescent="0.2">
      <c r="W366" s="152"/>
      <c r="X366" s="119" t="str">
        <f t="shared" si="13"/>
        <v>1D</v>
      </c>
      <c r="Y366" s="112" t="e">
        <f>_xll.qlCalendarAdvance(Calendar,Y365,X366,"f",FALSE)</f>
        <v>#VALUE!</v>
      </c>
      <c r="Z366" s="114" t="e">
        <f>_xll.qlCalendarAdvance(Calendar,Y366,0&amp;"D")</f>
        <v>#VALUE!</v>
      </c>
      <c r="AA366" s="115" t="e">
        <f ca="1"/>
        <v>#N/A</v>
      </c>
      <c r="AB366" s="151"/>
    </row>
    <row r="367" spans="23:28" x14ac:dyDescent="0.2">
      <c r="W367" s="152"/>
      <c r="X367" s="119" t="str">
        <f t="shared" si="13"/>
        <v>1D</v>
      </c>
      <c r="Y367" s="112" t="e">
        <f>_xll.qlCalendarAdvance(Calendar,Y366,X367,"f",FALSE)</f>
        <v>#VALUE!</v>
      </c>
      <c r="Z367" s="114" t="e">
        <f>_xll.qlCalendarAdvance(Calendar,Y367,0&amp;"D")</f>
        <v>#VALUE!</v>
      </c>
      <c r="AA367" s="115" t="e">
        <f ca="1"/>
        <v>#N/A</v>
      </c>
      <c r="AB367" s="151"/>
    </row>
    <row r="368" spans="23:28" x14ac:dyDescent="0.2">
      <c r="W368" s="152"/>
      <c r="X368" s="119" t="str">
        <f t="shared" si="13"/>
        <v>1D</v>
      </c>
      <c r="Y368" s="112" t="e">
        <f>_xll.qlCalendarAdvance(Calendar,Y367,X368,"f",FALSE)</f>
        <v>#VALUE!</v>
      </c>
      <c r="Z368" s="114" t="e">
        <f>_xll.qlCalendarAdvance(Calendar,Y368,0&amp;"D")</f>
        <v>#VALUE!</v>
      </c>
      <c r="AA368" s="115" t="e">
        <f ca="1"/>
        <v>#N/A</v>
      </c>
      <c r="AB368" s="151"/>
    </row>
    <row r="369" spans="23:28" x14ac:dyDescent="0.2">
      <c r="W369" s="152"/>
      <c r="X369" s="119" t="str">
        <f t="shared" si="13"/>
        <v>1D</v>
      </c>
      <c r="Y369" s="112" t="e">
        <f>_xll.qlCalendarAdvance(Calendar,Y368,X369,"f",FALSE)</f>
        <v>#VALUE!</v>
      </c>
      <c r="Z369" s="114" t="e">
        <f>_xll.qlCalendarAdvance(Calendar,Y369,0&amp;"D")</f>
        <v>#VALUE!</v>
      </c>
      <c r="AA369" s="115" t="e">
        <f ca="1"/>
        <v>#N/A</v>
      </c>
      <c r="AB369" s="151"/>
    </row>
    <row r="370" spans="23:28" x14ac:dyDescent="0.2">
      <c r="W370" s="152"/>
      <c r="X370" s="119" t="str">
        <f t="shared" si="13"/>
        <v>1D</v>
      </c>
      <c r="Y370" s="112" t="e">
        <f>_xll.qlCalendarAdvance(Calendar,Y369,X370,"f",FALSE)</f>
        <v>#VALUE!</v>
      </c>
      <c r="Z370" s="114" t="e">
        <f>_xll.qlCalendarAdvance(Calendar,Y370,0&amp;"D")</f>
        <v>#VALUE!</v>
      </c>
      <c r="AA370" s="115" t="e">
        <f ca="1"/>
        <v>#N/A</v>
      </c>
      <c r="AB370" s="151"/>
    </row>
    <row r="371" spans="23:28" x14ac:dyDescent="0.2">
      <c r="W371" s="152"/>
      <c r="X371" s="119" t="str">
        <f t="shared" si="13"/>
        <v>1D</v>
      </c>
      <c r="Y371" s="112" t="e">
        <f>_xll.qlCalendarAdvance(Calendar,Y370,X371,"f",FALSE)</f>
        <v>#VALUE!</v>
      </c>
      <c r="Z371" s="114" t="e">
        <f>_xll.qlCalendarAdvance(Calendar,Y371,0&amp;"D")</f>
        <v>#VALUE!</v>
      </c>
      <c r="AA371" s="115" t="e">
        <f ca="1"/>
        <v>#N/A</v>
      </c>
      <c r="AB371" s="151"/>
    </row>
    <row r="372" spans="23:28" x14ac:dyDescent="0.2">
      <c r="W372" s="152"/>
      <c r="X372" s="119" t="str">
        <f t="shared" si="13"/>
        <v>1D</v>
      </c>
      <c r="Y372" s="112" t="e">
        <f>_xll.qlCalendarAdvance(Calendar,Y371,X372,"f",FALSE)</f>
        <v>#VALUE!</v>
      </c>
      <c r="Z372" s="114" t="e">
        <f>_xll.qlCalendarAdvance(Calendar,Y372,0&amp;"D")</f>
        <v>#VALUE!</v>
      </c>
      <c r="AA372" s="115" t="e">
        <f ca="1"/>
        <v>#N/A</v>
      </c>
      <c r="AB372" s="151"/>
    </row>
    <row r="373" spans="23:28" x14ac:dyDescent="0.2">
      <c r="W373" s="152"/>
      <c r="X373" s="119" t="str">
        <f t="shared" si="13"/>
        <v>1D</v>
      </c>
      <c r="Y373" s="112" t="e">
        <f>_xll.qlCalendarAdvance(Calendar,Y372,X373,"f",FALSE)</f>
        <v>#VALUE!</v>
      </c>
      <c r="Z373" s="114" t="e">
        <f>_xll.qlCalendarAdvance(Calendar,Y373,0&amp;"D")</f>
        <v>#VALUE!</v>
      </c>
      <c r="AA373" s="115" t="e">
        <f ca="1"/>
        <v>#N/A</v>
      </c>
      <c r="AB373" s="151"/>
    </row>
    <row r="374" spans="23:28" x14ac:dyDescent="0.2">
      <c r="W374" s="152"/>
      <c r="X374" s="119" t="str">
        <f t="shared" si="13"/>
        <v>1D</v>
      </c>
      <c r="Y374" s="112" t="e">
        <f>_xll.qlCalendarAdvance(Calendar,Y373,X374,"f",FALSE)</f>
        <v>#VALUE!</v>
      </c>
      <c r="Z374" s="114" t="e">
        <f>_xll.qlCalendarAdvance(Calendar,Y374,0&amp;"D")</f>
        <v>#VALUE!</v>
      </c>
      <c r="AA374" s="115" t="e">
        <f ca="1"/>
        <v>#N/A</v>
      </c>
      <c r="AB374" s="151"/>
    </row>
    <row r="375" spans="23:28" x14ac:dyDescent="0.2">
      <c r="W375" s="152"/>
      <c r="X375" s="119" t="str">
        <f t="shared" si="13"/>
        <v>1D</v>
      </c>
      <c r="Y375" s="112" t="e">
        <f>_xll.qlCalendarAdvance(Calendar,Y374,X375,"f",FALSE)</f>
        <v>#VALUE!</v>
      </c>
      <c r="Z375" s="114" t="e">
        <f>_xll.qlCalendarAdvance(Calendar,Y375,0&amp;"D")</f>
        <v>#VALUE!</v>
      </c>
      <c r="AA375" s="115" t="e">
        <f ca="1"/>
        <v>#N/A</v>
      </c>
      <c r="AB375" s="151"/>
    </row>
    <row r="376" spans="23:28" x14ac:dyDescent="0.2">
      <c r="W376" s="152"/>
      <c r="X376" s="119" t="str">
        <f t="shared" si="13"/>
        <v>1D</v>
      </c>
      <c r="Y376" s="112" t="e">
        <f>_xll.qlCalendarAdvance(Calendar,Y375,X376,"f",FALSE)</f>
        <v>#VALUE!</v>
      </c>
      <c r="Z376" s="114" t="e">
        <f>_xll.qlCalendarAdvance(Calendar,Y376,0&amp;"D")</f>
        <v>#VALUE!</v>
      </c>
      <c r="AA376" s="115" t="e">
        <f ca="1"/>
        <v>#N/A</v>
      </c>
      <c r="AB376" s="151"/>
    </row>
    <row r="377" spans="23:28" x14ac:dyDescent="0.2">
      <c r="W377" s="152"/>
      <c r="X377" s="119" t="str">
        <f t="shared" si="13"/>
        <v>1D</v>
      </c>
      <c r="Y377" s="112" t="e">
        <f>_xll.qlCalendarAdvance(Calendar,Y376,X377,"f",FALSE)</f>
        <v>#VALUE!</v>
      </c>
      <c r="Z377" s="114" t="e">
        <f>_xll.qlCalendarAdvance(Calendar,Y377,0&amp;"D")</f>
        <v>#VALUE!</v>
      </c>
      <c r="AA377" s="115" t="e">
        <f ca="1"/>
        <v>#N/A</v>
      </c>
      <c r="AB377" s="151"/>
    </row>
    <row r="378" spans="23:28" x14ac:dyDescent="0.2">
      <c r="W378" s="152"/>
      <c r="X378" s="119" t="str">
        <f t="shared" si="13"/>
        <v>1D</v>
      </c>
      <c r="Y378" s="112" t="e">
        <f>_xll.qlCalendarAdvance(Calendar,Y377,X378,"f",FALSE)</f>
        <v>#VALUE!</v>
      </c>
      <c r="Z378" s="114" t="e">
        <f>_xll.qlCalendarAdvance(Calendar,Y378,0&amp;"D")</f>
        <v>#VALUE!</v>
      </c>
      <c r="AA378" s="115" t="e">
        <f ca="1"/>
        <v>#N/A</v>
      </c>
      <c r="AB378" s="151"/>
    </row>
    <row r="379" spans="23:28" x14ac:dyDescent="0.2">
      <c r="W379" s="152"/>
      <c r="X379" s="119" t="str">
        <f t="shared" si="13"/>
        <v>1D</v>
      </c>
      <c r="Y379" s="112" t="e">
        <f>_xll.qlCalendarAdvance(Calendar,Y378,X379,"f",FALSE)</f>
        <v>#VALUE!</v>
      </c>
      <c r="Z379" s="114" t="e">
        <f>_xll.qlCalendarAdvance(Calendar,Y379,0&amp;"D")</f>
        <v>#VALUE!</v>
      </c>
      <c r="AA379" s="115" t="e">
        <f ca="1"/>
        <v>#N/A</v>
      </c>
      <c r="AB379" s="151"/>
    </row>
    <row r="380" spans="23:28" x14ac:dyDescent="0.2">
      <c r="W380" s="152"/>
      <c r="X380" s="119" t="str">
        <f t="shared" si="13"/>
        <v>1D</v>
      </c>
      <c r="Y380" s="112" t="e">
        <f>_xll.qlCalendarAdvance(Calendar,Y379,X380,"f",FALSE)</f>
        <v>#VALUE!</v>
      </c>
      <c r="Z380" s="114" t="e">
        <f>_xll.qlCalendarAdvance(Calendar,Y380,0&amp;"D")</f>
        <v>#VALUE!</v>
      </c>
      <c r="AA380" s="115" t="e">
        <f ca="1"/>
        <v>#N/A</v>
      </c>
      <c r="AB380" s="151"/>
    </row>
    <row r="381" spans="23:28" x14ac:dyDescent="0.2">
      <c r="W381" s="152"/>
      <c r="X381" s="119" t="str">
        <f t="shared" si="13"/>
        <v>1D</v>
      </c>
      <c r="Y381" s="112" t="e">
        <f>_xll.qlCalendarAdvance(Calendar,Y380,X381,"f",FALSE)</f>
        <v>#VALUE!</v>
      </c>
      <c r="Z381" s="114" t="e">
        <f>_xll.qlCalendarAdvance(Calendar,Y381,0&amp;"D")</f>
        <v>#VALUE!</v>
      </c>
      <c r="AA381" s="115" t="e">
        <f ca="1"/>
        <v>#N/A</v>
      </c>
      <c r="AB381" s="151"/>
    </row>
    <row r="382" spans="23:28" x14ac:dyDescent="0.2">
      <c r="W382" s="152"/>
      <c r="X382" s="119" t="str">
        <f t="shared" si="13"/>
        <v>1D</v>
      </c>
      <c r="Y382" s="112" t="e">
        <f>_xll.qlCalendarAdvance(Calendar,Y381,X382,"f",FALSE)</f>
        <v>#VALUE!</v>
      </c>
      <c r="Z382" s="114" t="e">
        <f>_xll.qlCalendarAdvance(Calendar,Y382,0&amp;"D")</f>
        <v>#VALUE!</v>
      </c>
      <c r="AA382" s="115" t="e">
        <f ca="1"/>
        <v>#N/A</v>
      </c>
      <c r="AB382" s="151"/>
    </row>
    <row r="383" spans="23:28" x14ac:dyDescent="0.2">
      <c r="W383" s="152"/>
      <c r="X383" s="119" t="str">
        <f t="shared" si="13"/>
        <v>1D</v>
      </c>
      <c r="Y383" s="112" t="e">
        <f>_xll.qlCalendarAdvance(Calendar,Y382,X383,"f",FALSE)</f>
        <v>#VALUE!</v>
      </c>
      <c r="Z383" s="114" t="e">
        <f>_xll.qlCalendarAdvance(Calendar,Y383,0&amp;"D")</f>
        <v>#VALUE!</v>
      </c>
      <c r="AA383" s="115" t="e">
        <f ca="1"/>
        <v>#N/A</v>
      </c>
      <c r="AB383" s="151"/>
    </row>
    <row r="384" spans="23:28" x14ac:dyDescent="0.2">
      <c r="W384" s="152"/>
      <c r="X384" s="119" t="str">
        <f t="shared" si="13"/>
        <v>1D</v>
      </c>
      <c r="Y384" s="112" t="e">
        <f>_xll.qlCalendarAdvance(Calendar,Y383,X384,"f",FALSE)</f>
        <v>#VALUE!</v>
      </c>
      <c r="Z384" s="114" t="e">
        <f>_xll.qlCalendarAdvance(Calendar,Y384,0&amp;"D")</f>
        <v>#VALUE!</v>
      </c>
      <c r="AA384" s="115" t="e">
        <f ca="1"/>
        <v>#N/A</v>
      </c>
      <c r="AB384" s="151"/>
    </row>
    <row r="385" spans="23:28" x14ac:dyDescent="0.2">
      <c r="W385" s="152"/>
      <c r="X385" s="119" t="str">
        <f t="shared" si="13"/>
        <v>1D</v>
      </c>
      <c r="Y385" s="112" t="e">
        <f>_xll.qlCalendarAdvance(Calendar,Y384,X385,"f",FALSE)</f>
        <v>#VALUE!</v>
      </c>
      <c r="Z385" s="114" t="e">
        <f>_xll.qlCalendarAdvance(Calendar,Y385,0&amp;"D")</f>
        <v>#VALUE!</v>
      </c>
      <c r="AA385" s="115" t="e">
        <f ca="1"/>
        <v>#N/A</v>
      </c>
      <c r="AB385" s="151"/>
    </row>
    <row r="386" spans="23:28" x14ac:dyDescent="0.2">
      <c r="W386" s="152"/>
      <c r="X386" s="119" t="str">
        <f t="shared" si="13"/>
        <v>1D</v>
      </c>
      <c r="Y386" s="112" t="e">
        <f>_xll.qlCalendarAdvance(Calendar,Y385,X386,"f",FALSE)</f>
        <v>#VALUE!</v>
      </c>
      <c r="Z386" s="114" t="e">
        <f>_xll.qlCalendarAdvance(Calendar,Y386,0&amp;"D")</f>
        <v>#VALUE!</v>
      </c>
      <c r="AA386" s="115" t="e">
        <f ca="1"/>
        <v>#N/A</v>
      </c>
      <c r="AB386" s="151"/>
    </row>
    <row r="387" spans="23:28" x14ac:dyDescent="0.2">
      <c r="W387" s="152"/>
      <c r="X387" s="119" t="str">
        <f t="shared" si="13"/>
        <v>1D</v>
      </c>
      <c r="Y387" s="112" t="e">
        <f>_xll.qlCalendarAdvance(Calendar,Y386,X387,"f",FALSE)</f>
        <v>#VALUE!</v>
      </c>
      <c r="Z387" s="114" t="e">
        <f>_xll.qlCalendarAdvance(Calendar,Y387,0&amp;"D")</f>
        <v>#VALUE!</v>
      </c>
      <c r="AA387" s="115" t="e">
        <f ca="1"/>
        <v>#N/A</v>
      </c>
      <c r="AB387" s="151"/>
    </row>
    <row r="388" spans="23:28" x14ac:dyDescent="0.2">
      <c r="W388" s="152"/>
      <c r="X388" s="119" t="str">
        <f t="shared" si="13"/>
        <v>1D</v>
      </c>
      <c r="Y388" s="112" t="e">
        <f>_xll.qlCalendarAdvance(Calendar,Y387,X388,"f",FALSE)</f>
        <v>#VALUE!</v>
      </c>
      <c r="Z388" s="114" t="e">
        <f>_xll.qlCalendarAdvance(Calendar,Y388,0&amp;"D")</f>
        <v>#VALUE!</v>
      </c>
      <c r="AA388" s="115" t="e">
        <f ca="1"/>
        <v>#N/A</v>
      </c>
      <c r="AB388" s="151"/>
    </row>
    <row r="389" spans="23:28" x14ac:dyDescent="0.2">
      <c r="W389" s="152"/>
      <c r="X389" s="119" t="str">
        <f t="shared" si="13"/>
        <v>1D</v>
      </c>
      <c r="Y389" s="112" t="e">
        <f>_xll.qlCalendarAdvance(Calendar,Y388,X389,"f",FALSE)</f>
        <v>#VALUE!</v>
      </c>
      <c r="Z389" s="114" t="e">
        <f>_xll.qlCalendarAdvance(Calendar,Y389,0&amp;"D")</f>
        <v>#VALUE!</v>
      </c>
      <c r="AA389" s="115" t="e">
        <f ca="1"/>
        <v>#N/A</v>
      </c>
      <c r="AB389" s="151"/>
    </row>
    <row r="390" spans="23:28" x14ac:dyDescent="0.2">
      <c r="W390" s="152"/>
      <c r="X390" s="119" t="str">
        <f t="shared" si="13"/>
        <v>1D</v>
      </c>
      <c r="Y390" s="112" t="e">
        <f>_xll.qlCalendarAdvance(Calendar,Y389,X390,"f",FALSE)</f>
        <v>#VALUE!</v>
      </c>
      <c r="Z390" s="114" t="e">
        <f>_xll.qlCalendarAdvance(Calendar,Y390,0&amp;"D")</f>
        <v>#VALUE!</v>
      </c>
      <c r="AA390" s="115" t="e">
        <f ca="1"/>
        <v>#N/A</v>
      </c>
      <c r="AB390" s="151"/>
    </row>
    <row r="391" spans="23:28" x14ac:dyDescent="0.2">
      <c r="W391" s="152"/>
      <c r="X391" s="119" t="str">
        <f t="shared" si="13"/>
        <v>1D</v>
      </c>
      <c r="Y391" s="112" t="e">
        <f>_xll.qlCalendarAdvance(Calendar,Y390,X391,"f",FALSE)</f>
        <v>#VALUE!</v>
      </c>
      <c r="Z391" s="114" t="e">
        <f>_xll.qlCalendarAdvance(Calendar,Y391,0&amp;"D")</f>
        <v>#VALUE!</v>
      </c>
      <c r="AA391" s="115" t="e">
        <f ca="1"/>
        <v>#N/A</v>
      </c>
      <c r="AB391" s="151"/>
    </row>
    <row r="392" spans="23:28" x14ac:dyDescent="0.2">
      <c r="W392" s="152"/>
      <c r="X392" s="119" t="str">
        <f t="shared" si="13"/>
        <v>1D</v>
      </c>
      <c r="Y392" s="112" t="e">
        <f>_xll.qlCalendarAdvance(Calendar,Y391,X392,"f",FALSE)</f>
        <v>#VALUE!</v>
      </c>
      <c r="Z392" s="114" t="e">
        <f>_xll.qlCalendarAdvance(Calendar,Y392,0&amp;"D")</f>
        <v>#VALUE!</v>
      </c>
      <c r="AA392" s="115" t="e">
        <f ca="1"/>
        <v>#N/A</v>
      </c>
      <c r="AB392" s="151"/>
    </row>
    <row r="393" spans="23:28" x14ac:dyDescent="0.2">
      <c r="W393" s="152"/>
      <c r="X393" s="119" t="str">
        <f t="shared" si="13"/>
        <v>1D</v>
      </c>
      <c r="Y393" s="112" t="e">
        <f>_xll.qlCalendarAdvance(Calendar,Y392,X393,"f",FALSE)</f>
        <v>#VALUE!</v>
      </c>
      <c r="Z393" s="114" t="e">
        <f>_xll.qlCalendarAdvance(Calendar,Y393,0&amp;"D")</f>
        <v>#VALUE!</v>
      </c>
      <c r="AA393" s="115" t="e">
        <f ca="1"/>
        <v>#N/A</v>
      </c>
      <c r="AB393" s="151"/>
    </row>
    <row r="394" spans="23:28" x14ac:dyDescent="0.2">
      <c r="W394" s="152"/>
      <c r="X394" s="119" t="str">
        <f t="shared" si="13"/>
        <v>1D</v>
      </c>
      <c r="Y394" s="112" t="e">
        <f>_xll.qlCalendarAdvance(Calendar,Y393,X394,"f",FALSE)</f>
        <v>#VALUE!</v>
      </c>
      <c r="Z394" s="114" t="e">
        <f>_xll.qlCalendarAdvance(Calendar,Y394,0&amp;"D")</f>
        <v>#VALUE!</v>
      </c>
      <c r="AA394" s="115" t="e">
        <f ca="1"/>
        <v>#N/A</v>
      </c>
      <c r="AB394" s="151"/>
    </row>
    <row r="395" spans="23:28" x14ac:dyDescent="0.2">
      <c r="W395" s="152"/>
      <c r="X395" s="119" t="str">
        <f t="shared" si="13"/>
        <v>1D</v>
      </c>
      <c r="Y395" s="112" t="e">
        <f>_xll.qlCalendarAdvance(Calendar,Y394,X395,"f",FALSE)</f>
        <v>#VALUE!</v>
      </c>
      <c r="Z395" s="114" t="e">
        <f>_xll.qlCalendarAdvance(Calendar,Y395,0&amp;"D")</f>
        <v>#VALUE!</v>
      </c>
      <c r="AA395" s="115" t="e">
        <f ca="1"/>
        <v>#N/A</v>
      </c>
      <c r="AB395" s="151"/>
    </row>
    <row r="396" spans="23:28" x14ac:dyDescent="0.2">
      <c r="W396" s="152"/>
      <c r="X396" s="119" t="str">
        <f t="shared" si="13"/>
        <v>1D</v>
      </c>
      <c r="Y396" s="112" t="e">
        <f>_xll.qlCalendarAdvance(Calendar,Y395,X396,"f",FALSE)</f>
        <v>#VALUE!</v>
      </c>
      <c r="Z396" s="114" t="e">
        <f>_xll.qlCalendarAdvance(Calendar,Y396,0&amp;"D")</f>
        <v>#VALUE!</v>
      </c>
      <c r="AA396" s="115" t="e">
        <f ca="1"/>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f ca="1"/>
        <v>#N/A</v>
      </c>
      <c r="AB397" s="151"/>
    </row>
    <row r="398" spans="23:28" x14ac:dyDescent="0.2">
      <c r="W398" s="152"/>
      <c r="X398" s="119" t="str">
        <f t="shared" si="14"/>
        <v>1D</v>
      </c>
      <c r="Y398" s="112" t="e">
        <f>_xll.qlCalendarAdvance(Calendar,Y397,X398,"f",FALSE)</f>
        <v>#VALUE!</v>
      </c>
      <c r="Z398" s="114" t="e">
        <f>_xll.qlCalendarAdvance(Calendar,Y398,0&amp;"D")</f>
        <v>#VALUE!</v>
      </c>
      <c r="AA398" s="115" t="e">
        <f ca="1"/>
        <v>#N/A</v>
      </c>
      <c r="AB398" s="151"/>
    </row>
    <row r="399" spans="23:28" x14ac:dyDescent="0.2">
      <c r="W399" s="152"/>
      <c r="X399" s="119" t="str">
        <f t="shared" si="14"/>
        <v>1D</v>
      </c>
      <c r="Y399" s="112" t="e">
        <f>_xll.qlCalendarAdvance(Calendar,Y398,X399,"f",FALSE)</f>
        <v>#VALUE!</v>
      </c>
      <c r="Z399" s="114" t="e">
        <f>_xll.qlCalendarAdvance(Calendar,Y399,0&amp;"D")</f>
        <v>#VALUE!</v>
      </c>
      <c r="AA399" s="115" t="e">
        <f ca="1"/>
        <v>#N/A</v>
      </c>
      <c r="AB399" s="151"/>
    </row>
    <row r="400" spans="23:28" x14ac:dyDescent="0.2">
      <c r="W400" s="152"/>
      <c r="X400" s="119" t="str">
        <f t="shared" si="14"/>
        <v>1D</v>
      </c>
      <c r="Y400" s="112" t="e">
        <f>_xll.qlCalendarAdvance(Calendar,Y399,X400,"f",FALSE)</f>
        <v>#VALUE!</v>
      </c>
      <c r="Z400" s="114" t="e">
        <f>_xll.qlCalendarAdvance(Calendar,Y400,0&amp;"D")</f>
        <v>#VALUE!</v>
      </c>
      <c r="AA400" s="115" t="e">
        <f ca="1"/>
        <v>#N/A</v>
      </c>
      <c r="AB400" s="151"/>
    </row>
    <row r="401" spans="23:28" x14ac:dyDescent="0.2">
      <c r="W401" s="152"/>
      <c r="X401" s="119" t="str">
        <f t="shared" si="14"/>
        <v>1D</v>
      </c>
      <c r="Y401" s="112" t="e">
        <f>_xll.qlCalendarAdvance(Calendar,Y400,X401,"f",FALSE)</f>
        <v>#VALUE!</v>
      </c>
      <c r="Z401" s="114" t="e">
        <f>_xll.qlCalendarAdvance(Calendar,Y401,0&amp;"D")</f>
        <v>#VALUE!</v>
      </c>
      <c r="AA401" s="115" t="e">
        <f ca="1"/>
        <v>#N/A</v>
      </c>
      <c r="AB401" s="151"/>
    </row>
    <row r="402" spans="23:28" x14ac:dyDescent="0.2">
      <c r="W402" s="152"/>
      <c r="X402" s="119" t="str">
        <f t="shared" si="14"/>
        <v>1D</v>
      </c>
      <c r="Y402" s="112" t="e">
        <f>_xll.qlCalendarAdvance(Calendar,Y401,X402,"f",FALSE)</f>
        <v>#VALUE!</v>
      </c>
      <c r="Z402" s="114" t="e">
        <f>_xll.qlCalendarAdvance(Calendar,Y402,0&amp;"D")</f>
        <v>#VALUE!</v>
      </c>
      <c r="AA402" s="115" t="e">
        <f ca="1"/>
        <v>#N/A</v>
      </c>
      <c r="AB402" s="151"/>
    </row>
    <row r="403" spans="23:28" x14ac:dyDescent="0.2">
      <c r="W403" s="152"/>
      <c r="X403" s="119" t="str">
        <f t="shared" si="14"/>
        <v>1D</v>
      </c>
      <c r="Y403" s="112" t="e">
        <f>_xll.qlCalendarAdvance(Calendar,Y402,X403,"f",FALSE)</f>
        <v>#VALUE!</v>
      </c>
      <c r="Z403" s="114" t="e">
        <f>_xll.qlCalendarAdvance(Calendar,Y403,0&amp;"D")</f>
        <v>#VALUE!</v>
      </c>
      <c r="AA403" s="115" t="e">
        <f ca="1"/>
        <v>#N/A</v>
      </c>
      <c r="AB403" s="151"/>
    </row>
    <row r="404" spans="23:28" x14ac:dyDescent="0.2">
      <c r="W404" s="152"/>
      <c r="X404" s="119" t="str">
        <f t="shared" si="14"/>
        <v>1D</v>
      </c>
      <c r="Y404" s="112" t="e">
        <f>_xll.qlCalendarAdvance(Calendar,Y403,X404,"f",FALSE)</f>
        <v>#VALUE!</v>
      </c>
      <c r="Z404" s="114" t="e">
        <f>_xll.qlCalendarAdvance(Calendar,Y404,0&amp;"D")</f>
        <v>#VALUE!</v>
      </c>
      <c r="AA404" s="115" t="e">
        <f ca="1"/>
        <v>#N/A</v>
      </c>
      <c r="AB404" s="151"/>
    </row>
    <row r="405" spans="23:28" x14ac:dyDescent="0.2">
      <c r="W405" s="152"/>
      <c r="X405" s="119" t="str">
        <f t="shared" si="14"/>
        <v>1D</v>
      </c>
      <c r="Y405" s="112" t="e">
        <f>_xll.qlCalendarAdvance(Calendar,Y404,X405,"f",FALSE)</f>
        <v>#VALUE!</v>
      </c>
      <c r="Z405" s="114" t="e">
        <f>_xll.qlCalendarAdvance(Calendar,Y405,0&amp;"D")</f>
        <v>#VALUE!</v>
      </c>
      <c r="AA405" s="115" t="e">
        <f ca="1"/>
        <v>#N/A</v>
      </c>
      <c r="AB405" s="151"/>
    </row>
    <row r="406" spans="23:28" x14ac:dyDescent="0.2">
      <c r="W406" s="152"/>
      <c r="X406" s="119" t="str">
        <f t="shared" si="14"/>
        <v>1D</v>
      </c>
      <c r="Y406" s="112" t="e">
        <f>_xll.qlCalendarAdvance(Calendar,Y405,X406,"f",FALSE)</f>
        <v>#VALUE!</v>
      </c>
      <c r="Z406" s="114" t="e">
        <f>_xll.qlCalendarAdvance(Calendar,Y406,0&amp;"D")</f>
        <v>#VALUE!</v>
      </c>
      <c r="AA406" s="115" t="e">
        <f ca="1"/>
        <v>#N/A</v>
      </c>
      <c r="AB406" s="151"/>
    </row>
    <row r="407" spans="23:28" x14ac:dyDescent="0.2">
      <c r="W407" s="152"/>
      <c r="X407" s="119" t="str">
        <f t="shared" si="14"/>
        <v>1D</v>
      </c>
      <c r="Y407" s="112" t="e">
        <f>_xll.qlCalendarAdvance(Calendar,Y406,X407,"f",FALSE)</f>
        <v>#VALUE!</v>
      </c>
      <c r="Z407" s="114" t="e">
        <f>_xll.qlCalendarAdvance(Calendar,Y407,0&amp;"D")</f>
        <v>#VALUE!</v>
      </c>
      <c r="AA407" s="115" t="e">
        <f ca="1"/>
        <v>#N/A</v>
      </c>
      <c r="AB407" s="151"/>
    </row>
    <row r="408" spans="23:28" x14ac:dyDescent="0.2">
      <c r="W408" s="152"/>
      <c r="X408" s="119" t="str">
        <f t="shared" si="14"/>
        <v>1D</v>
      </c>
      <c r="Y408" s="112" t="e">
        <f>_xll.qlCalendarAdvance(Calendar,Y407,X408,"f",FALSE)</f>
        <v>#VALUE!</v>
      </c>
      <c r="Z408" s="114" t="e">
        <f>_xll.qlCalendarAdvance(Calendar,Y408,0&amp;"D")</f>
        <v>#VALUE!</v>
      </c>
      <c r="AA408" s="115" t="e">
        <f ca="1"/>
        <v>#N/A</v>
      </c>
      <c r="AB408" s="151"/>
    </row>
    <row r="409" spans="23:28" x14ac:dyDescent="0.2">
      <c r="W409" s="152"/>
      <c r="X409" s="119" t="str">
        <f t="shared" si="14"/>
        <v>1D</v>
      </c>
      <c r="Y409" s="112" t="e">
        <f>_xll.qlCalendarAdvance(Calendar,Y408,X409,"f",FALSE)</f>
        <v>#VALUE!</v>
      </c>
      <c r="Z409" s="114" t="e">
        <f>_xll.qlCalendarAdvance(Calendar,Y409,0&amp;"D")</f>
        <v>#VALUE!</v>
      </c>
      <c r="AA409" s="115" t="e">
        <f ca="1"/>
        <v>#N/A</v>
      </c>
      <c r="AB409" s="151"/>
    </row>
    <row r="410" spans="23:28" x14ac:dyDescent="0.2">
      <c r="W410" s="152"/>
      <c r="X410" s="119" t="str">
        <f t="shared" si="14"/>
        <v>1D</v>
      </c>
      <c r="Y410" s="112" t="e">
        <f>_xll.qlCalendarAdvance(Calendar,Y409,X410,"f",FALSE)</f>
        <v>#VALUE!</v>
      </c>
      <c r="Z410" s="114" t="e">
        <f>_xll.qlCalendarAdvance(Calendar,Y410,0&amp;"D")</f>
        <v>#VALUE!</v>
      </c>
      <c r="AA410" s="115" t="e">
        <f ca="1"/>
        <v>#N/A</v>
      </c>
      <c r="AB410" s="151"/>
    </row>
    <row r="411" spans="23:28" x14ac:dyDescent="0.2">
      <c r="W411" s="152"/>
      <c r="X411" s="119" t="str">
        <f t="shared" si="14"/>
        <v>1D</v>
      </c>
      <c r="Y411" s="112" t="e">
        <f>_xll.qlCalendarAdvance(Calendar,Y410,X411,"f",FALSE)</f>
        <v>#VALUE!</v>
      </c>
      <c r="Z411" s="114" t="e">
        <f>_xll.qlCalendarAdvance(Calendar,Y411,0&amp;"D")</f>
        <v>#VALUE!</v>
      </c>
      <c r="AA411" s="115" t="e">
        <f ca="1"/>
        <v>#N/A</v>
      </c>
      <c r="AB411" s="151"/>
    </row>
    <row r="412" spans="23:28" x14ac:dyDescent="0.2">
      <c r="W412" s="152"/>
      <c r="X412" s="119" t="str">
        <f t="shared" si="14"/>
        <v>1D</v>
      </c>
      <c r="Y412" s="112" t="e">
        <f>_xll.qlCalendarAdvance(Calendar,Y411,X412,"f",FALSE)</f>
        <v>#VALUE!</v>
      </c>
      <c r="Z412" s="114" t="e">
        <f>_xll.qlCalendarAdvance(Calendar,Y412,0&amp;"D")</f>
        <v>#VALUE!</v>
      </c>
      <c r="AA412" s="115" t="e">
        <f ca="1"/>
        <v>#N/A</v>
      </c>
      <c r="AB412" s="151"/>
    </row>
    <row r="413" spans="23:28" x14ac:dyDescent="0.2">
      <c r="W413" s="152"/>
      <c r="X413" s="119" t="str">
        <f t="shared" si="14"/>
        <v>1D</v>
      </c>
      <c r="Y413" s="112" t="e">
        <f>_xll.qlCalendarAdvance(Calendar,Y412,X413,"f",FALSE)</f>
        <v>#VALUE!</v>
      </c>
      <c r="Z413" s="114" t="e">
        <f>_xll.qlCalendarAdvance(Calendar,Y413,0&amp;"D")</f>
        <v>#VALUE!</v>
      </c>
      <c r="AA413" s="115" t="e">
        <f ca="1"/>
        <v>#N/A</v>
      </c>
      <c r="AB413" s="151"/>
    </row>
    <row r="414" spans="23:28" x14ac:dyDescent="0.2">
      <c r="W414" s="152"/>
      <c r="X414" s="119" t="str">
        <f t="shared" si="14"/>
        <v>1D</v>
      </c>
      <c r="Y414" s="112" t="e">
        <f>_xll.qlCalendarAdvance(Calendar,Y413,X414,"f",FALSE)</f>
        <v>#VALUE!</v>
      </c>
      <c r="Z414" s="114" t="e">
        <f>_xll.qlCalendarAdvance(Calendar,Y414,0&amp;"D")</f>
        <v>#VALUE!</v>
      </c>
      <c r="AA414" s="115" t="e">
        <f ca="1"/>
        <v>#N/A</v>
      </c>
      <c r="AB414" s="151"/>
    </row>
    <row r="415" spans="23:28" x14ac:dyDescent="0.2">
      <c r="W415" s="152"/>
      <c r="X415" s="119" t="str">
        <f t="shared" si="14"/>
        <v>1D</v>
      </c>
      <c r="Y415" s="112" t="e">
        <f>_xll.qlCalendarAdvance(Calendar,Y414,X415,"f",FALSE)</f>
        <v>#VALUE!</v>
      </c>
      <c r="Z415" s="114" t="e">
        <f>_xll.qlCalendarAdvance(Calendar,Y415,0&amp;"D")</f>
        <v>#VALUE!</v>
      </c>
      <c r="AA415" s="115" t="e">
        <f ca="1"/>
        <v>#N/A</v>
      </c>
      <c r="AB415" s="151"/>
    </row>
    <row r="416" spans="23:28" x14ac:dyDescent="0.2">
      <c r="W416" s="152"/>
      <c r="X416" s="119" t="str">
        <f t="shared" si="14"/>
        <v>1D</v>
      </c>
      <c r="Y416" s="112" t="e">
        <f>_xll.qlCalendarAdvance(Calendar,Y415,X416,"f",FALSE)</f>
        <v>#VALUE!</v>
      </c>
      <c r="Z416" s="114" t="e">
        <f>_xll.qlCalendarAdvance(Calendar,Y416,0&amp;"D")</f>
        <v>#VALUE!</v>
      </c>
      <c r="AA416" s="115" t="e">
        <f ca="1"/>
        <v>#N/A</v>
      </c>
      <c r="AB416" s="151"/>
    </row>
    <row r="417" spans="23:28" x14ac:dyDescent="0.2">
      <c r="W417" s="152"/>
      <c r="X417" s="119" t="str">
        <f t="shared" si="14"/>
        <v>1D</v>
      </c>
      <c r="Y417" s="112" t="e">
        <f>_xll.qlCalendarAdvance(Calendar,Y416,X417,"f",FALSE)</f>
        <v>#VALUE!</v>
      </c>
      <c r="Z417" s="114" t="e">
        <f>_xll.qlCalendarAdvance(Calendar,Y417,0&amp;"D")</f>
        <v>#VALUE!</v>
      </c>
      <c r="AA417" s="115" t="e">
        <f ca="1"/>
        <v>#N/A</v>
      </c>
      <c r="AB417" s="151"/>
    </row>
    <row r="418" spans="23:28" x14ac:dyDescent="0.2">
      <c r="W418" s="152"/>
      <c r="X418" s="119" t="str">
        <f t="shared" si="14"/>
        <v>1D</v>
      </c>
      <c r="Y418" s="112" t="e">
        <f>_xll.qlCalendarAdvance(Calendar,Y417,X418,"f",FALSE)</f>
        <v>#VALUE!</v>
      </c>
      <c r="Z418" s="114" t="e">
        <f>_xll.qlCalendarAdvance(Calendar,Y418,0&amp;"D")</f>
        <v>#VALUE!</v>
      </c>
      <c r="AA418" s="115" t="e">
        <f ca="1"/>
        <v>#N/A</v>
      </c>
      <c r="AB418" s="151"/>
    </row>
    <row r="419" spans="23:28" x14ac:dyDescent="0.2">
      <c r="W419" s="152"/>
      <c r="X419" s="119" t="str">
        <f t="shared" si="14"/>
        <v>1D</v>
      </c>
      <c r="Y419" s="112" t="e">
        <f>_xll.qlCalendarAdvance(Calendar,Y418,X419,"f",FALSE)</f>
        <v>#VALUE!</v>
      </c>
      <c r="Z419" s="114" t="e">
        <f>_xll.qlCalendarAdvance(Calendar,Y419,0&amp;"D")</f>
        <v>#VALUE!</v>
      </c>
      <c r="AA419" s="115" t="e">
        <f ca="1"/>
        <v>#N/A</v>
      </c>
      <c r="AB419" s="151"/>
    </row>
    <row r="420" spans="23:28" x14ac:dyDescent="0.2">
      <c r="W420" s="152"/>
      <c r="X420" s="119" t="str">
        <f t="shared" si="14"/>
        <v>1D</v>
      </c>
      <c r="Y420" s="112" t="e">
        <f>_xll.qlCalendarAdvance(Calendar,Y419,X420,"f",FALSE)</f>
        <v>#VALUE!</v>
      </c>
      <c r="Z420" s="114" t="e">
        <f>_xll.qlCalendarAdvance(Calendar,Y420,0&amp;"D")</f>
        <v>#VALUE!</v>
      </c>
      <c r="AA420" s="115" t="e">
        <f ca="1"/>
        <v>#N/A</v>
      </c>
      <c r="AB420" s="151"/>
    </row>
    <row r="421" spans="23:28" x14ac:dyDescent="0.2">
      <c r="W421" s="152"/>
      <c r="X421" s="119" t="str">
        <f t="shared" si="14"/>
        <v>1D</v>
      </c>
      <c r="Y421" s="112" t="e">
        <f>_xll.qlCalendarAdvance(Calendar,Y420,X421,"f",FALSE)</f>
        <v>#VALUE!</v>
      </c>
      <c r="Z421" s="114" t="e">
        <f>_xll.qlCalendarAdvance(Calendar,Y421,0&amp;"D")</f>
        <v>#VALUE!</v>
      </c>
      <c r="AA421" s="115" t="e">
        <f ca="1"/>
        <v>#N/A</v>
      </c>
      <c r="AB421" s="151"/>
    </row>
    <row r="422" spans="23:28" x14ac:dyDescent="0.2">
      <c r="W422" s="152"/>
      <c r="X422" s="119" t="str">
        <f t="shared" si="14"/>
        <v>1D</v>
      </c>
      <c r="Y422" s="112" t="e">
        <f>_xll.qlCalendarAdvance(Calendar,Y421,X422,"f",FALSE)</f>
        <v>#VALUE!</v>
      </c>
      <c r="Z422" s="114" t="e">
        <f>_xll.qlCalendarAdvance(Calendar,Y422,0&amp;"D")</f>
        <v>#VALUE!</v>
      </c>
      <c r="AA422" s="115" t="e">
        <f ca="1"/>
        <v>#N/A</v>
      </c>
      <c r="AB422" s="151"/>
    </row>
    <row r="423" spans="23:28" x14ac:dyDescent="0.2">
      <c r="W423" s="152"/>
      <c r="X423" s="119" t="str">
        <f t="shared" si="14"/>
        <v>1D</v>
      </c>
      <c r="Y423" s="112" t="e">
        <f>_xll.qlCalendarAdvance(Calendar,Y422,X423,"f",FALSE)</f>
        <v>#VALUE!</v>
      </c>
      <c r="Z423" s="114" t="e">
        <f>_xll.qlCalendarAdvance(Calendar,Y423,0&amp;"D")</f>
        <v>#VALUE!</v>
      </c>
      <c r="AA423" s="115" t="e">
        <f ca="1"/>
        <v>#N/A</v>
      </c>
      <c r="AB423" s="151"/>
    </row>
    <row r="424" spans="23:28" x14ac:dyDescent="0.2">
      <c r="W424" s="152"/>
      <c r="X424" s="119" t="str">
        <f t="shared" si="14"/>
        <v>1D</v>
      </c>
      <c r="Y424" s="112" t="e">
        <f>_xll.qlCalendarAdvance(Calendar,Y423,X424,"f",FALSE)</f>
        <v>#VALUE!</v>
      </c>
      <c r="Z424" s="114" t="e">
        <f>_xll.qlCalendarAdvance(Calendar,Y424,0&amp;"D")</f>
        <v>#VALUE!</v>
      </c>
      <c r="AA424" s="115" t="e">
        <f ca="1"/>
        <v>#N/A</v>
      </c>
      <c r="AB424" s="151"/>
    </row>
    <row r="425" spans="23:28" x14ac:dyDescent="0.2">
      <c r="W425" s="152"/>
      <c r="X425" s="119" t="str">
        <f t="shared" si="14"/>
        <v>1D</v>
      </c>
      <c r="Y425" s="112" t="e">
        <f>_xll.qlCalendarAdvance(Calendar,Y424,X425,"f",FALSE)</f>
        <v>#VALUE!</v>
      </c>
      <c r="Z425" s="114" t="e">
        <f>_xll.qlCalendarAdvance(Calendar,Y425,0&amp;"D")</f>
        <v>#VALUE!</v>
      </c>
      <c r="AA425" s="115" t="e">
        <f ca="1"/>
        <v>#N/A</v>
      </c>
      <c r="AB425" s="151"/>
    </row>
    <row r="426" spans="23:28" x14ac:dyDescent="0.2">
      <c r="W426" s="152"/>
      <c r="X426" s="119" t="str">
        <f t="shared" si="14"/>
        <v>1D</v>
      </c>
      <c r="Y426" s="112" t="e">
        <f>_xll.qlCalendarAdvance(Calendar,Y425,X426,"f",FALSE)</f>
        <v>#VALUE!</v>
      </c>
      <c r="Z426" s="114" t="e">
        <f>_xll.qlCalendarAdvance(Calendar,Y426,0&amp;"D")</f>
        <v>#VALUE!</v>
      </c>
      <c r="AA426" s="115" t="e">
        <f ca="1"/>
        <v>#N/A</v>
      </c>
      <c r="AB426" s="151"/>
    </row>
    <row r="427" spans="23:28" x14ac:dyDescent="0.2">
      <c r="W427" s="152"/>
      <c r="X427" s="119" t="str">
        <f t="shared" si="14"/>
        <v>1D</v>
      </c>
      <c r="Y427" s="112" t="e">
        <f>_xll.qlCalendarAdvance(Calendar,Y426,X427,"f",FALSE)</f>
        <v>#VALUE!</v>
      </c>
      <c r="Z427" s="114" t="e">
        <f>_xll.qlCalendarAdvance(Calendar,Y427,0&amp;"D")</f>
        <v>#VALUE!</v>
      </c>
      <c r="AA427" s="115" t="e">
        <f ca="1"/>
        <v>#N/A</v>
      </c>
      <c r="AB427" s="151"/>
    </row>
    <row r="428" spans="23:28" x14ac:dyDescent="0.2">
      <c r="W428" s="152"/>
      <c r="X428" s="119" t="str">
        <f t="shared" si="14"/>
        <v>1D</v>
      </c>
      <c r="Y428" s="112" t="e">
        <f>_xll.qlCalendarAdvance(Calendar,Y427,X428,"f",FALSE)</f>
        <v>#VALUE!</v>
      </c>
      <c r="Z428" s="114" t="e">
        <f>_xll.qlCalendarAdvance(Calendar,Y428,0&amp;"D")</f>
        <v>#VALUE!</v>
      </c>
      <c r="AA428" s="115" t="e">
        <f ca="1"/>
        <v>#N/A</v>
      </c>
      <c r="AB428" s="151"/>
    </row>
    <row r="429" spans="23:28" x14ac:dyDescent="0.2">
      <c r="W429" s="152"/>
      <c r="X429" s="119" t="str">
        <f t="shared" si="14"/>
        <v>1D</v>
      </c>
      <c r="Y429" s="112" t="e">
        <f>_xll.qlCalendarAdvance(Calendar,Y428,X429,"f",FALSE)</f>
        <v>#VALUE!</v>
      </c>
      <c r="Z429" s="114" t="e">
        <f>_xll.qlCalendarAdvance(Calendar,Y429,0&amp;"D")</f>
        <v>#VALUE!</v>
      </c>
      <c r="AA429" s="115" t="e">
        <f ca="1"/>
        <v>#N/A</v>
      </c>
      <c r="AB429" s="151"/>
    </row>
    <row r="430" spans="23:28" x14ac:dyDescent="0.2">
      <c r="W430" s="152"/>
      <c r="X430" s="119" t="str">
        <f t="shared" si="14"/>
        <v>1D</v>
      </c>
      <c r="Y430" s="112" t="e">
        <f>_xll.qlCalendarAdvance(Calendar,Y429,X430,"f",FALSE)</f>
        <v>#VALUE!</v>
      </c>
      <c r="Z430" s="114" t="e">
        <f>_xll.qlCalendarAdvance(Calendar,Y430,0&amp;"D")</f>
        <v>#VALUE!</v>
      </c>
      <c r="AA430" s="115" t="e">
        <f ca="1"/>
        <v>#N/A</v>
      </c>
      <c r="AB430" s="151"/>
    </row>
    <row r="431" spans="23:28" x14ac:dyDescent="0.2">
      <c r="W431" s="152"/>
      <c r="X431" s="119" t="str">
        <f t="shared" si="14"/>
        <v>1D</v>
      </c>
      <c r="Y431" s="112" t="e">
        <f>_xll.qlCalendarAdvance(Calendar,Y430,X431,"f",FALSE)</f>
        <v>#VALUE!</v>
      </c>
      <c r="Z431" s="114" t="e">
        <f>_xll.qlCalendarAdvance(Calendar,Y431,0&amp;"D")</f>
        <v>#VALUE!</v>
      </c>
      <c r="AA431" s="115" t="e">
        <f ca="1"/>
        <v>#N/A</v>
      </c>
      <c r="AB431" s="151"/>
    </row>
    <row r="432" spans="23:28" x14ac:dyDescent="0.2">
      <c r="W432" s="152"/>
      <c r="X432" s="119" t="str">
        <f t="shared" si="14"/>
        <v>1D</v>
      </c>
      <c r="Y432" s="112" t="e">
        <f>_xll.qlCalendarAdvance(Calendar,Y431,X432,"f",FALSE)</f>
        <v>#VALUE!</v>
      </c>
      <c r="Z432" s="114" t="e">
        <f>_xll.qlCalendarAdvance(Calendar,Y432,0&amp;"D")</f>
        <v>#VALUE!</v>
      </c>
      <c r="AA432" s="115" t="e">
        <f ca="1"/>
        <v>#N/A</v>
      </c>
      <c r="AB432" s="151"/>
    </row>
    <row r="433" spans="23:28" x14ac:dyDescent="0.2">
      <c r="W433" s="152"/>
      <c r="X433" s="119" t="str">
        <f t="shared" si="14"/>
        <v>1D</v>
      </c>
      <c r="Y433" s="112" t="e">
        <f>_xll.qlCalendarAdvance(Calendar,Y432,X433,"f",FALSE)</f>
        <v>#VALUE!</v>
      </c>
      <c r="Z433" s="114" t="e">
        <f>_xll.qlCalendarAdvance(Calendar,Y433,0&amp;"D")</f>
        <v>#VALUE!</v>
      </c>
      <c r="AA433" s="115" t="e">
        <f ca="1"/>
        <v>#N/A</v>
      </c>
      <c r="AB433" s="151"/>
    </row>
    <row r="434" spans="23:28" x14ac:dyDescent="0.2">
      <c r="W434" s="152"/>
      <c r="X434" s="119" t="str">
        <f t="shared" si="14"/>
        <v>1D</v>
      </c>
      <c r="Y434" s="112" t="e">
        <f>_xll.qlCalendarAdvance(Calendar,Y433,X434,"f",FALSE)</f>
        <v>#VALUE!</v>
      </c>
      <c r="Z434" s="114" t="e">
        <f>_xll.qlCalendarAdvance(Calendar,Y434,0&amp;"D")</f>
        <v>#VALUE!</v>
      </c>
      <c r="AA434" s="115" t="e">
        <f ca="1"/>
        <v>#N/A</v>
      </c>
      <c r="AB434" s="151"/>
    </row>
    <row r="435" spans="23:28" x14ac:dyDescent="0.2">
      <c r="W435" s="152"/>
      <c r="X435" s="119" t="str">
        <f t="shared" si="14"/>
        <v>1D</v>
      </c>
      <c r="Y435" s="112" t="e">
        <f>_xll.qlCalendarAdvance(Calendar,Y434,X435,"f",FALSE)</f>
        <v>#VALUE!</v>
      </c>
      <c r="Z435" s="114" t="e">
        <f>_xll.qlCalendarAdvance(Calendar,Y435,0&amp;"D")</f>
        <v>#VALUE!</v>
      </c>
      <c r="AA435" s="115" t="e">
        <f ca="1"/>
        <v>#N/A</v>
      </c>
      <c r="AB435" s="151"/>
    </row>
    <row r="436" spans="23:28" x14ac:dyDescent="0.2">
      <c r="W436" s="152"/>
      <c r="X436" s="119" t="str">
        <f t="shared" si="14"/>
        <v>1D</v>
      </c>
      <c r="Y436" s="112" t="e">
        <f>_xll.qlCalendarAdvance(Calendar,Y435,X436,"f",FALSE)</f>
        <v>#VALUE!</v>
      </c>
      <c r="Z436" s="114" t="e">
        <f>_xll.qlCalendarAdvance(Calendar,Y436,0&amp;"D")</f>
        <v>#VALUE!</v>
      </c>
      <c r="AA436" s="115" t="e">
        <f ca="1"/>
        <v>#N/A</v>
      </c>
      <c r="AB436" s="151"/>
    </row>
    <row r="437" spans="23:28" x14ac:dyDescent="0.2">
      <c r="W437" s="152"/>
      <c r="X437" s="119" t="str">
        <f t="shared" si="14"/>
        <v>1D</v>
      </c>
      <c r="Y437" s="112" t="e">
        <f>_xll.qlCalendarAdvance(Calendar,Y436,X437,"f",FALSE)</f>
        <v>#VALUE!</v>
      </c>
      <c r="Z437" s="114" t="e">
        <f>_xll.qlCalendarAdvance(Calendar,Y437,0&amp;"D")</f>
        <v>#VALUE!</v>
      </c>
      <c r="AA437" s="115" t="e">
        <f ca="1"/>
        <v>#N/A</v>
      </c>
      <c r="AB437" s="151"/>
    </row>
    <row r="438" spans="23:28" x14ac:dyDescent="0.2">
      <c r="W438" s="152"/>
      <c r="X438" s="119" t="str">
        <f t="shared" si="14"/>
        <v>1D</v>
      </c>
      <c r="Y438" s="112" t="e">
        <f>_xll.qlCalendarAdvance(Calendar,Y437,X438,"f",FALSE)</f>
        <v>#VALUE!</v>
      </c>
      <c r="Z438" s="114" t="e">
        <f>_xll.qlCalendarAdvance(Calendar,Y438,0&amp;"D")</f>
        <v>#VALUE!</v>
      </c>
      <c r="AA438" s="115" t="e">
        <f ca="1"/>
        <v>#N/A</v>
      </c>
      <c r="AB438" s="151"/>
    </row>
    <row r="439" spans="23:28" x14ac:dyDescent="0.2">
      <c r="W439" s="152"/>
      <c r="X439" s="119" t="str">
        <f t="shared" si="14"/>
        <v>1D</v>
      </c>
      <c r="Y439" s="112" t="e">
        <f>_xll.qlCalendarAdvance(Calendar,Y438,X439,"f",FALSE)</f>
        <v>#VALUE!</v>
      </c>
      <c r="Z439" s="114" t="e">
        <f>_xll.qlCalendarAdvance(Calendar,Y439,0&amp;"D")</f>
        <v>#VALUE!</v>
      </c>
      <c r="AA439" s="115" t="e">
        <f ca="1"/>
        <v>#N/A</v>
      </c>
      <c r="AB439" s="151"/>
    </row>
    <row r="440" spans="23:28" x14ac:dyDescent="0.2">
      <c r="W440" s="152"/>
      <c r="X440" s="119" t="str">
        <f t="shared" si="14"/>
        <v>1D</v>
      </c>
      <c r="Y440" s="112" t="e">
        <f>_xll.qlCalendarAdvance(Calendar,Y439,X440,"f",FALSE)</f>
        <v>#VALUE!</v>
      </c>
      <c r="Z440" s="114" t="e">
        <f>_xll.qlCalendarAdvance(Calendar,Y440,0&amp;"D")</f>
        <v>#VALUE!</v>
      </c>
      <c r="AA440" s="115" t="e">
        <f ca="1"/>
        <v>#N/A</v>
      </c>
      <c r="AB440" s="151"/>
    </row>
    <row r="441" spans="23:28" x14ac:dyDescent="0.2">
      <c r="W441" s="152"/>
      <c r="X441" s="119" t="str">
        <f t="shared" si="14"/>
        <v>1D</v>
      </c>
      <c r="Y441" s="112" t="e">
        <f>_xll.qlCalendarAdvance(Calendar,Y440,X441,"f",FALSE)</f>
        <v>#VALUE!</v>
      </c>
      <c r="Z441" s="114" t="e">
        <f>_xll.qlCalendarAdvance(Calendar,Y441,0&amp;"D")</f>
        <v>#VALUE!</v>
      </c>
      <c r="AA441" s="115" t="e">
        <f ca="1"/>
        <v>#N/A</v>
      </c>
      <c r="AB441" s="151"/>
    </row>
    <row r="442" spans="23:28" x14ac:dyDescent="0.2">
      <c r="W442" s="152"/>
      <c r="X442" s="119" t="str">
        <f t="shared" si="14"/>
        <v>1D</v>
      </c>
      <c r="Y442" s="112" t="e">
        <f>_xll.qlCalendarAdvance(Calendar,Y441,X442,"f",FALSE)</f>
        <v>#VALUE!</v>
      </c>
      <c r="Z442" s="114" t="e">
        <f>_xll.qlCalendarAdvance(Calendar,Y442,0&amp;"D")</f>
        <v>#VALUE!</v>
      </c>
      <c r="AA442" s="115" t="e">
        <f ca="1"/>
        <v>#N/A</v>
      </c>
      <c r="AB442" s="151"/>
    </row>
    <row r="443" spans="23:28" x14ac:dyDescent="0.2">
      <c r="W443" s="152"/>
      <c r="X443" s="119" t="str">
        <f t="shared" si="14"/>
        <v>1D</v>
      </c>
      <c r="Y443" s="112" t="e">
        <f>_xll.qlCalendarAdvance(Calendar,Y442,X443,"f",FALSE)</f>
        <v>#VALUE!</v>
      </c>
      <c r="Z443" s="114" t="e">
        <f>_xll.qlCalendarAdvance(Calendar,Y443,0&amp;"D")</f>
        <v>#VALUE!</v>
      </c>
      <c r="AA443" s="115" t="e">
        <f ca="1"/>
        <v>#N/A</v>
      </c>
      <c r="AB443" s="151"/>
    </row>
    <row r="444" spans="23:28" x14ac:dyDescent="0.2">
      <c r="W444" s="152"/>
      <c r="X444" s="119" t="str">
        <f t="shared" si="14"/>
        <v>1D</v>
      </c>
      <c r="Y444" s="112" t="e">
        <f>_xll.qlCalendarAdvance(Calendar,Y443,X444,"f",FALSE)</f>
        <v>#VALUE!</v>
      </c>
      <c r="Z444" s="114" t="e">
        <f>_xll.qlCalendarAdvance(Calendar,Y444,0&amp;"D")</f>
        <v>#VALUE!</v>
      </c>
      <c r="AA444" s="115" t="e">
        <f ca="1"/>
        <v>#N/A</v>
      </c>
      <c r="AB444" s="151"/>
    </row>
    <row r="445" spans="23:28" x14ac:dyDescent="0.2">
      <c r="W445" s="152"/>
      <c r="X445" s="119" t="str">
        <f t="shared" si="14"/>
        <v>1D</v>
      </c>
      <c r="Y445" s="112" t="e">
        <f>_xll.qlCalendarAdvance(Calendar,Y444,X445,"f",FALSE)</f>
        <v>#VALUE!</v>
      </c>
      <c r="Z445" s="114" t="e">
        <f>_xll.qlCalendarAdvance(Calendar,Y445,0&amp;"D")</f>
        <v>#VALUE!</v>
      </c>
      <c r="AA445" s="115" t="e">
        <f ca="1"/>
        <v>#N/A</v>
      </c>
      <c r="AB445" s="151"/>
    </row>
    <row r="446" spans="23:28" x14ac:dyDescent="0.2">
      <c r="W446" s="152"/>
      <c r="X446" s="119" t="str">
        <f t="shared" si="14"/>
        <v>1D</v>
      </c>
      <c r="Y446" s="112" t="e">
        <f>_xll.qlCalendarAdvance(Calendar,Y445,X446,"f",FALSE)</f>
        <v>#VALUE!</v>
      </c>
      <c r="Z446" s="114" t="e">
        <f>_xll.qlCalendarAdvance(Calendar,Y446,0&amp;"D")</f>
        <v>#VALUE!</v>
      </c>
      <c r="AA446" s="115" t="e">
        <f ca="1"/>
        <v>#N/A</v>
      </c>
      <c r="AB446" s="151"/>
    </row>
    <row r="447" spans="23:28" x14ac:dyDescent="0.2">
      <c r="W447" s="152"/>
      <c r="X447" s="119" t="str">
        <f t="shared" si="14"/>
        <v>1D</v>
      </c>
      <c r="Y447" s="112" t="e">
        <f>_xll.qlCalendarAdvance(Calendar,Y446,X447,"f",FALSE)</f>
        <v>#VALUE!</v>
      </c>
      <c r="Z447" s="114" t="e">
        <f>_xll.qlCalendarAdvance(Calendar,Y447,0&amp;"D")</f>
        <v>#VALUE!</v>
      </c>
      <c r="AA447" s="115" t="e">
        <f ca="1"/>
        <v>#N/A</v>
      </c>
      <c r="AB447" s="151"/>
    </row>
    <row r="448" spans="23:28" x14ac:dyDescent="0.2">
      <c r="W448" s="152"/>
      <c r="X448" s="119" t="str">
        <f t="shared" si="14"/>
        <v>1D</v>
      </c>
      <c r="Y448" s="112" t="e">
        <f>_xll.qlCalendarAdvance(Calendar,Y447,X448,"f",FALSE)</f>
        <v>#VALUE!</v>
      </c>
      <c r="Z448" s="114" t="e">
        <f>_xll.qlCalendarAdvance(Calendar,Y448,0&amp;"D")</f>
        <v>#VALUE!</v>
      </c>
      <c r="AA448" s="115" t="e">
        <f ca="1"/>
        <v>#N/A</v>
      </c>
      <c r="AB448" s="151"/>
    </row>
    <row r="449" spans="23:28" x14ac:dyDescent="0.2">
      <c r="W449" s="152"/>
      <c r="X449" s="119" t="str">
        <f t="shared" si="14"/>
        <v>1D</v>
      </c>
      <c r="Y449" s="112" t="e">
        <f>_xll.qlCalendarAdvance(Calendar,Y448,X449,"f",FALSE)</f>
        <v>#VALUE!</v>
      </c>
      <c r="Z449" s="114" t="e">
        <f>_xll.qlCalendarAdvance(Calendar,Y449,0&amp;"D")</f>
        <v>#VALUE!</v>
      </c>
      <c r="AA449" s="115" t="e">
        <f ca="1"/>
        <v>#N/A</v>
      </c>
      <c r="AB449" s="151"/>
    </row>
    <row r="450" spans="23:28" x14ac:dyDescent="0.2">
      <c r="W450" s="152"/>
      <c r="X450" s="119" t="str">
        <f t="shared" si="14"/>
        <v>1D</v>
      </c>
      <c r="Y450" s="112" t="e">
        <f>_xll.qlCalendarAdvance(Calendar,Y449,X450,"f",FALSE)</f>
        <v>#VALUE!</v>
      </c>
      <c r="Z450" s="114" t="e">
        <f>_xll.qlCalendarAdvance(Calendar,Y450,0&amp;"D")</f>
        <v>#VALUE!</v>
      </c>
      <c r="AA450" s="115" t="e">
        <f ca="1"/>
        <v>#N/A</v>
      </c>
      <c r="AB450" s="151"/>
    </row>
    <row r="451" spans="23:28" x14ac:dyDescent="0.2">
      <c r="W451" s="152"/>
      <c r="X451" s="119" t="str">
        <f t="shared" si="14"/>
        <v>1D</v>
      </c>
      <c r="Y451" s="112" t="e">
        <f>_xll.qlCalendarAdvance(Calendar,Y450,X451,"f",FALSE)</f>
        <v>#VALUE!</v>
      </c>
      <c r="Z451" s="114" t="e">
        <f>_xll.qlCalendarAdvance(Calendar,Y451,0&amp;"D")</f>
        <v>#VALUE!</v>
      </c>
      <c r="AA451" s="115" t="e">
        <f ca="1"/>
        <v>#N/A</v>
      </c>
      <c r="AB451" s="151"/>
    </row>
    <row r="452" spans="23:28" x14ac:dyDescent="0.2">
      <c r="W452" s="152"/>
      <c r="X452" s="119" t="str">
        <f t="shared" si="14"/>
        <v>1D</v>
      </c>
      <c r="Y452" s="112" t="e">
        <f>_xll.qlCalendarAdvance(Calendar,Y451,X452,"f",FALSE)</f>
        <v>#VALUE!</v>
      </c>
      <c r="Z452" s="114" t="e">
        <f>_xll.qlCalendarAdvance(Calendar,Y452,0&amp;"D")</f>
        <v>#VALUE!</v>
      </c>
      <c r="AA452" s="115" t="e">
        <f ca="1"/>
        <v>#N/A</v>
      </c>
      <c r="AB452" s="151"/>
    </row>
    <row r="453" spans="23:28" x14ac:dyDescent="0.2">
      <c r="W453" s="152"/>
      <c r="X453" s="119" t="str">
        <f t="shared" si="14"/>
        <v>1D</v>
      </c>
      <c r="Y453" s="112" t="e">
        <f>_xll.qlCalendarAdvance(Calendar,Y452,X453,"f",FALSE)</f>
        <v>#VALUE!</v>
      </c>
      <c r="Z453" s="114" t="e">
        <f>_xll.qlCalendarAdvance(Calendar,Y453,0&amp;"D")</f>
        <v>#VALUE!</v>
      </c>
      <c r="AA453" s="115" t="e">
        <f ca="1"/>
        <v>#N/A</v>
      </c>
      <c r="AB453" s="151"/>
    </row>
    <row r="454" spans="23:28" x14ac:dyDescent="0.2">
      <c r="W454" s="152"/>
      <c r="X454" s="119" t="str">
        <f t="shared" si="14"/>
        <v>1D</v>
      </c>
      <c r="Y454" s="112" t="e">
        <f>_xll.qlCalendarAdvance(Calendar,Y453,X454,"f",FALSE)</f>
        <v>#VALUE!</v>
      </c>
      <c r="Z454" s="114" t="e">
        <f>_xll.qlCalendarAdvance(Calendar,Y454,0&amp;"D")</f>
        <v>#VALUE!</v>
      </c>
      <c r="AA454" s="115" t="e">
        <f ca="1"/>
        <v>#N/A</v>
      </c>
      <c r="AB454" s="151"/>
    </row>
    <row r="455" spans="23:28" x14ac:dyDescent="0.2">
      <c r="W455" s="152"/>
      <c r="X455" s="119" t="str">
        <f t="shared" si="14"/>
        <v>1D</v>
      </c>
      <c r="Y455" s="112" t="e">
        <f>_xll.qlCalendarAdvance(Calendar,Y454,X455,"f",FALSE)</f>
        <v>#VALUE!</v>
      </c>
      <c r="Z455" s="114" t="e">
        <f>_xll.qlCalendarAdvance(Calendar,Y455,0&amp;"D")</f>
        <v>#VALUE!</v>
      </c>
      <c r="AA455" s="115" t="e">
        <f ca="1"/>
        <v>#N/A</v>
      </c>
      <c r="AB455" s="151"/>
    </row>
    <row r="456" spans="23:28" x14ac:dyDescent="0.2">
      <c r="W456" s="152"/>
      <c r="X456" s="119" t="str">
        <f t="shared" si="14"/>
        <v>1D</v>
      </c>
      <c r="Y456" s="112" t="e">
        <f>_xll.qlCalendarAdvance(Calendar,Y455,X456,"f",FALSE)</f>
        <v>#VALUE!</v>
      </c>
      <c r="Z456" s="114" t="e">
        <f>_xll.qlCalendarAdvance(Calendar,Y456,0&amp;"D")</f>
        <v>#VALUE!</v>
      </c>
      <c r="AA456" s="115" t="e">
        <f ca="1"/>
        <v>#N/A</v>
      </c>
      <c r="AB456" s="151"/>
    </row>
    <row r="457" spans="23:28" x14ac:dyDescent="0.2">
      <c r="W457" s="152"/>
      <c r="X457" s="119" t="str">
        <f t="shared" si="14"/>
        <v>1D</v>
      </c>
      <c r="Y457" s="112" t="e">
        <f>_xll.qlCalendarAdvance(Calendar,Y456,X457,"f",FALSE)</f>
        <v>#VALUE!</v>
      </c>
      <c r="Z457" s="114" t="e">
        <f>_xll.qlCalendarAdvance(Calendar,Y457,0&amp;"D")</f>
        <v>#VALUE!</v>
      </c>
      <c r="AA457" s="115" t="e">
        <f ca="1"/>
        <v>#N/A</v>
      </c>
      <c r="AB457" s="151"/>
    </row>
    <row r="458" spans="23:28" x14ac:dyDescent="0.2">
      <c r="W458" s="152"/>
      <c r="X458" s="119" t="str">
        <f t="shared" si="14"/>
        <v>1D</v>
      </c>
      <c r="Y458" s="112" t="e">
        <f>_xll.qlCalendarAdvance(Calendar,Y457,X458,"f",FALSE)</f>
        <v>#VALUE!</v>
      </c>
      <c r="Z458" s="114" t="e">
        <f>_xll.qlCalendarAdvance(Calendar,Y458,0&amp;"D")</f>
        <v>#VALUE!</v>
      </c>
      <c r="AA458" s="115" t="e">
        <f ca="1"/>
        <v>#N/A</v>
      </c>
      <c r="AB458" s="151"/>
    </row>
    <row r="459" spans="23:28" x14ac:dyDescent="0.2">
      <c r="W459" s="152"/>
      <c r="X459" s="119" t="str">
        <f t="shared" si="14"/>
        <v>1D</v>
      </c>
      <c r="Y459" s="112" t="e">
        <f>_xll.qlCalendarAdvance(Calendar,Y458,X459,"f",FALSE)</f>
        <v>#VALUE!</v>
      </c>
      <c r="Z459" s="114" t="e">
        <f>_xll.qlCalendarAdvance(Calendar,Y459,0&amp;"D")</f>
        <v>#VALUE!</v>
      </c>
      <c r="AA459" s="115" t="e">
        <f ca="1"/>
        <v>#N/A</v>
      </c>
      <c r="AB459" s="151"/>
    </row>
    <row r="460" spans="23:28" x14ac:dyDescent="0.2">
      <c r="W460" s="152"/>
      <c r="X460" s="119" t="str">
        <f t="shared" si="14"/>
        <v>1D</v>
      </c>
      <c r="Y460" s="112" t="e">
        <f>_xll.qlCalendarAdvance(Calendar,Y459,X460,"f",FALSE)</f>
        <v>#VALUE!</v>
      </c>
      <c r="Z460" s="114" t="e">
        <f>_xll.qlCalendarAdvance(Calendar,Y460,0&amp;"D")</f>
        <v>#VALUE!</v>
      </c>
      <c r="AA460" s="115" t="e">
        <f ca="1"/>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f ca="1"/>
        <v>#N/A</v>
      </c>
      <c r="AB461" s="151"/>
    </row>
    <row r="462" spans="23:28" x14ac:dyDescent="0.2">
      <c r="W462" s="152"/>
      <c r="X462" s="119" t="str">
        <f t="shared" si="15"/>
        <v>1D</v>
      </c>
      <c r="Y462" s="112" t="e">
        <f>_xll.qlCalendarAdvance(Calendar,Y461,X462,"f",FALSE)</f>
        <v>#VALUE!</v>
      </c>
      <c r="Z462" s="114" t="e">
        <f>_xll.qlCalendarAdvance(Calendar,Y462,0&amp;"D")</f>
        <v>#VALUE!</v>
      </c>
      <c r="AA462" s="115" t="e">
        <f ca="1"/>
        <v>#N/A</v>
      </c>
      <c r="AB462" s="151"/>
    </row>
    <row r="463" spans="23:28" x14ac:dyDescent="0.2">
      <c r="W463" s="152"/>
      <c r="X463" s="119" t="str">
        <f t="shared" si="15"/>
        <v>1D</v>
      </c>
      <c r="Y463" s="112" t="e">
        <f>_xll.qlCalendarAdvance(Calendar,Y462,X463,"f",FALSE)</f>
        <v>#VALUE!</v>
      </c>
      <c r="Z463" s="114" t="e">
        <f>_xll.qlCalendarAdvance(Calendar,Y463,0&amp;"D")</f>
        <v>#VALUE!</v>
      </c>
      <c r="AA463" s="115" t="e">
        <f ca="1"/>
        <v>#N/A</v>
      </c>
      <c r="AB463" s="151"/>
    </row>
    <row r="464" spans="23:28" x14ac:dyDescent="0.2">
      <c r="W464" s="152"/>
      <c r="X464" s="119" t="str">
        <f t="shared" si="15"/>
        <v>1D</v>
      </c>
      <c r="Y464" s="112" t="e">
        <f>_xll.qlCalendarAdvance(Calendar,Y463,X464,"f",FALSE)</f>
        <v>#VALUE!</v>
      </c>
      <c r="Z464" s="114" t="e">
        <f>_xll.qlCalendarAdvance(Calendar,Y464,0&amp;"D")</f>
        <v>#VALUE!</v>
      </c>
      <c r="AA464" s="115" t="e">
        <f ca="1"/>
        <v>#N/A</v>
      </c>
      <c r="AB464" s="151"/>
    </row>
    <row r="465" spans="23:28" x14ac:dyDescent="0.2">
      <c r="W465" s="152"/>
      <c r="X465" s="119" t="str">
        <f t="shared" si="15"/>
        <v>1D</v>
      </c>
      <c r="Y465" s="112" t="e">
        <f>_xll.qlCalendarAdvance(Calendar,Y464,X465,"f",FALSE)</f>
        <v>#VALUE!</v>
      </c>
      <c r="Z465" s="114" t="e">
        <f>_xll.qlCalendarAdvance(Calendar,Y465,0&amp;"D")</f>
        <v>#VALUE!</v>
      </c>
      <c r="AA465" s="115" t="e">
        <f ca="1"/>
        <v>#N/A</v>
      </c>
      <c r="AB465" s="151"/>
    </row>
    <row r="466" spans="23:28" x14ac:dyDescent="0.2">
      <c r="W466" s="152"/>
      <c r="X466" s="119" t="str">
        <f t="shared" si="15"/>
        <v>1D</v>
      </c>
      <c r="Y466" s="112" t="e">
        <f>_xll.qlCalendarAdvance(Calendar,Y465,X466,"f",FALSE)</f>
        <v>#VALUE!</v>
      </c>
      <c r="Z466" s="114" t="e">
        <f>_xll.qlCalendarAdvance(Calendar,Y466,0&amp;"D")</f>
        <v>#VALUE!</v>
      </c>
      <c r="AA466" s="115" t="e">
        <f ca="1"/>
        <v>#N/A</v>
      </c>
      <c r="AB466" s="151"/>
    </row>
    <row r="467" spans="23:28" x14ac:dyDescent="0.2">
      <c r="W467" s="152"/>
      <c r="X467" s="119" t="str">
        <f t="shared" si="15"/>
        <v>1D</v>
      </c>
      <c r="Y467" s="112" t="e">
        <f>_xll.qlCalendarAdvance(Calendar,Y466,X467,"f",FALSE)</f>
        <v>#VALUE!</v>
      </c>
      <c r="Z467" s="114" t="e">
        <f>_xll.qlCalendarAdvance(Calendar,Y467,0&amp;"D")</f>
        <v>#VALUE!</v>
      </c>
      <c r="AA467" s="115" t="e">
        <f ca="1"/>
        <v>#N/A</v>
      </c>
      <c r="AB467" s="151"/>
    </row>
    <row r="468" spans="23:28" x14ac:dyDescent="0.2">
      <c r="W468" s="152"/>
      <c r="X468" s="119" t="str">
        <f t="shared" si="15"/>
        <v>1D</v>
      </c>
      <c r="Y468" s="112" t="e">
        <f>_xll.qlCalendarAdvance(Calendar,Y467,X468,"f",FALSE)</f>
        <v>#VALUE!</v>
      </c>
      <c r="Z468" s="114" t="e">
        <f>_xll.qlCalendarAdvance(Calendar,Y468,0&amp;"D")</f>
        <v>#VALUE!</v>
      </c>
      <c r="AA468" s="115" t="e">
        <f ca="1"/>
        <v>#N/A</v>
      </c>
      <c r="AB468" s="151"/>
    </row>
    <row r="469" spans="23:28" x14ac:dyDescent="0.2">
      <c r="W469" s="152"/>
      <c r="X469" s="119" t="str">
        <f t="shared" si="15"/>
        <v>1D</v>
      </c>
      <c r="Y469" s="112" t="e">
        <f>_xll.qlCalendarAdvance(Calendar,Y468,X469,"f",FALSE)</f>
        <v>#VALUE!</v>
      </c>
      <c r="Z469" s="114" t="e">
        <f>_xll.qlCalendarAdvance(Calendar,Y469,0&amp;"D")</f>
        <v>#VALUE!</v>
      </c>
      <c r="AA469" s="115" t="e">
        <f ca="1"/>
        <v>#N/A</v>
      </c>
      <c r="AB469" s="151"/>
    </row>
    <row r="470" spans="23:28" x14ac:dyDescent="0.2">
      <c r="W470" s="152"/>
      <c r="X470" s="119" t="str">
        <f t="shared" si="15"/>
        <v>1D</v>
      </c>
      <c r="Y470" s="112" t="e">
        <f>_xll.qlCalendarAdvance(Calendar,Y469,X470,"f",FALSE)</f>
        <v>#VALUE!</v>
      </c>
      <c r="Z470" s="114" t="e">
        <f>_xll.qlCalendarAdvance(Calendar,Y470,0&amp;"D")</f>
        <v>#VALUE!</v>
      </c>
      <c r="AA470" s="115" t="e">
        <f ca="1"/>
        <v>#N/A</v>
      </c>
      <c r="AB470" s="151"/>
    </row>
    <row r="471" spans="23:28" x14ac:dyDescent="0.2">
      <c r="W471" s="152"/>
      <c r="X471" s="119" t="str">
        <f t="shared" si="15"/>
        <v>1D</v>
      </c>
      <c r="Y471" s="112" t="e">
        <f>_xll.qlCalendarAdvance(Calendar,Y470,X471,"f",FALSE)</f>
        <v>#VALUE!</v>
      </c>
      <c r="Z471" s="114" t="e">
        <f>_xll.qlCalendarAdvance(Calendar,Y471,0&amp;"D")</f>
        <v>#VALUE!</v>
      </c>
      <c r="AA471" s="115" t="e">
        <f ca="1"/>
        <v>#N/A</v>
      </c>
      <c r="AB471" s="151"/>
    </row>
    <row r="472" spans="23:28" x14ac:dyDescent="0.2">
      <c r="W472" s="152"/>
      <c r="X472" s="119" t="str">
        <f t="shared" si="15"/>
        <v>1D</v>
      </c>
      <c r="Y472" s="112" t="e">
        <f>_xll.qlCalendarAdvance(Calendar,Y471,X472,"f",FALSE)</f>
        <v>#VALUE!</v>
      </c>
      <c r="Z472" s="114" t="e">
        <f>_xll.qlCalendarAdvance(Calendar,Y472,0&amp;"D")</f>
        <v>#VALUE!</v>
      </c>
      <c r="AA472" s="115" t="e">
        <f ca="1"/>
        <v>#N/A</v>
      </c>
      <c r="AB472" s="151"/>
    </row>
    <row r="473" spans="23:28" x14ac:dyDescent="0.2">
      <c r="W473" s="152"/>
      <c r="X473" s="119" t="str">
        <f t="shared" si="15"/>
        <v>1D</v>
      </c>
      <c r="Y473" s="112" t="e">
        <f>_xll.qlCalendarAdvance(Calendar,Y472,X473,"f",FALSE)</f>
        <v>#VALUE!</v>
      </c>
      <c r="Z473" s="114" t="e">
        <f>_xll.qlCalendarAdvance(Calendar,Y473,0&amp;"D")</f>
        <v>#VALUE!</v>
      </c>
      <c r="AA473" s="115" t="e">
        <f ca="1"/>
        <v>#N/A</v>
      </c>
      <c r="AB473" s="151"/>
    </row>
    <row r="474" spans="23:28" x14ac:dyDescent="0.2">
      <c r="W474" s="152"/>
      <c r="X474" s="119" t="str">
        <f t="shared" si="15"/>
        <v>1D</v>
      </c>
      <c r="Y474" s="112" t="e">
        <f>_xll.qlCalendarAdvance(Calendar,Y473,X474,"f",FALSE)</f>
        <v>#VALUE!</v>
      </c>
      <c r="Z474" s="114" t="e">
        <f>_xll.qlCalendarAdvance(Calendar,Y474,0&amp;"D")</f>
        <v>#VALUE!</v>
      </c>
      <c r="AA474" s="115" t="e">
        <f ca="1"/>
        <v>#N/A</v>
      </c>
      <c r="AB474" s="151"/>
    </row>
    <row r="475" spans="23:28" x14ac:dyDescent="0.2">
      <c r="W475" s="152"/>
      <c r="X475" s="119" t="str">
        <f t="shared" si="15"/>
        <v>1D</v>
      </c>
      <c r="Y475" s="112" t="e">
        <f>_xll.qlCalendarAdvance(Calendar,Y474,X475,"f",FALSE)</f>
        <v>#VALUE!</v>
      </c>
      <c r="Z475" s="114" t="e">
        <f>_xll.qlCalendarAdvance(Calendar,Y475,0&amp;"D")</f>
        <v>#VALUE!</v>
      </c>
      <c r="AA475" s="115" t="e">
        <f ca="1"/>
        <v>#N/A</v>
      </c>
      <c r="AB475" s="151"/>
    </row>
    <row r="476" spans="23:28" x14ac:dyDescent="0.2">
      <c r="W476" s="152"/>
      <c r="X476" s="119" t="str">
        <f t="shared" si="15"/>
        <v>1D</v>
      </c>
      <c r="Y476" s="112" t="e">
        <f>_xll.qlCalendarAdvance(Calendar,Y475,X476,"f",FALSE)</f>
        <v>#VALUE!</v>
      </c>
      <c r="Z476" s="114" t="e">
        <f>_xll.qlCalendarAdvance(Calendar,Y476,0&amp;"D")</f>
        <v>#VALUE!</v>
      </c>
      <c r="AA476" s="115" t="e">
        <f ca="1"/>
        <v>#N/A</v>
      </c>
      <c r="AB476" s="151"/>
    </row>
    <row r="477" spans="23:28" x14ac:dyDescent="0.2">
      <c r="W477" s="152"/>
      <c r="X477" s="119" t="str">
        <f t="shared" si="15"/>
        <v>1D</v>
      </c>
      <c r="Y477" s="112" t="e">
        <f>_xll.qlCalendarAdvance(Calendar,Y476,X477,"f",FALSE)</f>
        <v>#VALUE!</v>
      </c>
      <c r="Z477" s="114" t="e">
        <f>_xll.qlCalendarAdvance(Calendar,Y477,0&amp;"D")</f>
        <v>#VALUE!</v>
      </c>
      <c r="AA477" s="115" t="e">
        <f ca="1"/>
        <v>#N/A</v>
      </c>
      <c r="AB477" s="151"/>
    </row>
    <row r="478" spans="23:28" x14ac:dyDescent="0.2">
      <c r="W478" s="152"/>
      <c r="X478" s="119" t="str">
        <f t="shared" si="15"/>
        <v>1D</v>
      </c>
      <c r="Y478" s="112" t="e">
        <f>_xll.qlCalendarAdvance(Calendar,Y477,X478,"f",FALSE)</f>
        <v>#VALUE!</v>
      </c>
      <c r="Z478" s="114" t="e">
        <f>_xll.qlCalendarAdvance(Calendar,Y478,0&amp;"D")</f>
        <v>#VALUE!</v>
      </c>
      <c r="AA478" s="115" t="e">
        <f ca="1"/>
        <v>#N/A</v>
      </c>
      <c r="AB478" s="151"/>
    </row>
    <row r="479" spans="23:28" x14ac:dyDescent="0.2">
      <c r="W479" s="152"/>
      <c r="X479" s="119" t="str">
        <f t="shared" si="15"/>
        <v>1D</v>
      </c>
      <c r="Y479" s="112" t="e">
        <f>_xll.qlCalendarAdvance(Calendar,Y478,X479,"f",FALSE)</f>
        <v>#VALUE!</v>
      </c>
      <c r="Z479" s="114" t="e">
        <f>_xll.qlCalendarAdvance(Calendar,Y479,0&amp;"D")</f>
        <v>#VALUE!</v>
      </c>
      <c r="AA479" s="115" t="e">
        <f ca="1"/>
        <v>#N/A</v>
      </c>
      <c r="AB479" s="151"/>
    </row>
    <row r="480" spans="23:28" x14ac:dyDescent="0.2">
      <c r="W480" s="152"/>
      <c r="X480" s="119" t="str">
        <f t="shared" si="15"/>
        <v>1D</v>
      </c>
      <c r="Y480" s="112" t="e">
        <f>_xll.qlCalendarAdvance(Calendar,Y479,X480,"f",FALSE)</f>
        <v>#VALUE!</v>
      </c>
      <c r="Z480" s="114" t="e">
        <f>_xll.qlCalendarAdvance(Calendar,Y480,0&amp;"D")</f>
        <v>#VALUE!</v>
      </c>
      <c r="AA480" s="115" t="e">
        <f ca="1"/>
        <v>#N/A</v>
      </c>
      <c r="AB480" s="151"/>
    </row>
    <row r="481" spans="23:28" x14ac:dyDescent="0.2">
      <c r="W481" s="152"/>
      <c r="X481" s="119" t="str">
        <f t="shared" si="15"/>
        <v>1D</v>
      </c>
      <c r="Y481" s="112" t="e">
        <f>_xll.qlCalendarAdvance(Calendar,Y480,X481,"f",FALSE)</f>
        <v>#VALUE!</v>
      </c>
      <c r="Z481" s="114" t="e">
        <f>_xll.qlCalendarAdvance(Calendar,Y481,0&amp;"D")</f>
        <v>#VALUE!</v>
      </c>
      <c r="AA481" s="115" t="e">
        <f ca="1"/>
        <v>#N/A</v>
      </c>
      <c r="AB481" s="151"/>
    </row>
    <row r="482" spans="23:28" x14ac:dyDescent="0.2">
      <c r="W482" s="152"/>
      <c r="X482" s="119" t="str">
        <f t="shared" si="15"/>
        <v>1D</v>
      </c>
      <c r="Y482" s="112" t="e">
        <f>_xll.qlCalendarAdvance(Calendar,Y481,X482,"f",FALSE)</f>
        <v>#VALUE!</v>
      </c>
      <c r="Z482" s="114" t="e">
        <f>_xll.qlCalendarAdvance(Calendar,Y482,0&amp;"D")</f>
        <v>#VALUE!</v>
      </c>
      <c r="AA482" s="115" t="e">
        <f ca="1"/>
        <v>#N/A</v>
      </c>
      <c r="AB482" s="151"/>
    </row>
    <row r="483" spans="23:28" x14ac:dyDescent="0.2">
      <c r="W483" s="152"/>
      <c r="X483" s="119" t="str">
        <f t="shared" si="15"/>
        <v>1D</v>
      </c>
      <c r="Y483" s="112" t="e">
        <f>_xll.qlCalendarAdvance(Calendar,Y482,X483,"f",FALSE)</f>
        <v>#VALUE!</v>
      </c>
      <c r="Z483" s="114" t="e">
        <f>_xll.qlCalendarAdvance(Calendar,Y483,0&amp;"D")</f>
        <v>#VALUE!</v>
      </c>
      <c r="AA483" s="115" t="e">
        <f ca="1"/>
        <v>#N/A</v>
      </c>
      <c r="AB483" s="151"/>
    </row>
    <row r="484" spans="23:28" x14ac:dyDescent="0.2">
      <c r="W484" s="152"/>
      <c r="X484" s="119" t="str">
        <f t="shared" si="15"/>
        <v>1D</v>
      </c>
      <c r="Y484" s="112" t="e">
        <f>_xll.qlCalendarAdvance(Calendar,Y483,X484,"f",FALSE)</f>
        <v>#VALUE!</v>
      </c>
      <c r="Z484" s="114" t="e">
        <f>_xll.qlCalendarAdvance(Calendar,Y484,0&amp;"D")</f>
        <v>#VALUE!</v>
      </c>
      <c r="AA484" s="115" t="e">
        <f ca="1"/>
        <v>#N/A</v>
      </c>
      <c r="AB484" s="151"/>
    </row>
    <row r="485" spans="23:28" x14ac:dyDescent="0.2">
      <c r="W485" s="152"/>
      <c r="X485" s="119" t="str">
        <f t="shared" si="15"/>
        <v>1D</v>
      </c>
      <c r="Y485" s="112" t="e">
        <f>_xll.qlCalendarAdvance(Calendar,Y484,X485,"f",FALSE)</f>
        <v>#VALUE!</v>
      </c>
      <c r="Z485" s="114" t="e">
        <f>_xll.qlCalendarAdvance(Calendar,Y485,0&amp;"D")</f>
        <v>#VALUE!</v>
      </c>
      <c r="AA485" s="115" t="e">
        <f ca="1"/>
        <v>#N/A</v>
      </c>
      <c r="AB485" s="151"/>
    </row>
    <row r="486" spans="23:28" x14ac:dyDescent="0.2">
      <c r="W486" s="152"/>
      <c r="X486" s="119" t="str">
        <f t="shared" si="15"/>
        <v>1D</v>
      </c>
      <c r="Y486" s="112" t="e">
        <f>_xll.qlCalendarAdvance(Calendar,Y485,X486,"f",FALSE)</f>
        <v>#VALUE!</v>
      </c>
      <c r="Z486" s="114" t="e">
        <f>_xll.qlCalendarAdvance(Calendar,Y486,0&amp;"D")</f>
        <v>#VALUE!</v>
      </c>
      <c r="AA486" s="115" t="e">
        <f ca="1"/>
        <v>#N/A</v>
      </c>
      <c r="AB486" s="151"/>
    </row>
    <row r="487" spans="23:28" x14ac:dyDescent="0.2">
      <c r="W487" s="152"/>
      <c r="X487" s="119" t="str">
        <f t="shared" si="15"/>
        <v>1D</v>
      </c>
      <c r="Y487" s="112" t="e">
        <f>_xll.qlCalendarAdvance(Calendar,Y486,X487,"f",FALSE)</f>
        <v>#VALUE!</v>
      </c>
      <c r="Z487" s="114" t="e">
        <f>_xll.qlCalendarAdvance(Calendar,Y487,0&amp;"D")</f>
        <v>#VALUE!</v>
      </c>
      <c r="AA487" s="115" t="e">
        <f ca="1"/>
        <v>#N/A</v>
      </c>
      <c r="AB487" s="151"/>
    </row>
    <row r="488" spans="23:28" x14ac:dyDescent="0.2">
      <c r="W488" s="152"/>
      <c r="X488" s="119" t="str">
        <f t="shared" si="15"/>
        <v>1D</v>
      </c>
      <c r="Y488" s="112" t="e">
        <f>_xll.qlCalendarAdvance(Calendar,Y487,X488,"f",FALSE)</f>
        <v>#VALUE!</v>
      </c>
      <c r="Z488" s="114" t="e">
        <f>_xll.qlCalendarAdvance(Calendar,Y488,0&amp;"D")</f>
        <v>#VALUE!</v>
      </c>
      <c r="AA488" s="115" t="e">
        <f ca="1"/>
        <v>#N/A</v>
      </c>
      <c r="AB488" s="151"/>
    </row>
    <row r="489" spans="23:28" x14ac:dyDescent="0.2">
      <c r="W489" s="152"/>
      <c r="X489" s="119" t="str">
        <f t="shared" si="15"/>
        <v>1D</v>
      </c>
      <c r="Y489" s="112" t="e">
        <f>_xll.qlCalendarAdvance(Calendar,Y488,X489,"f",FALSE)</f>
        <v>#VALUE!</v>
      </c>
      <c r="Z489" s="114" t="e">
        <f>_xll.qlCalendarAdvance(Calendar,Y489,0&amp;"D")</f>
        <v>#VALUE!</v>
      </c>
      <c r="AA489" s="115" t="e">
        <f ca="1"/>
        <v>#N/A</v>
      </c>
      <c r="AB489" s="151"/>
    </row>
    <row r="490" spans="23:28" x14ac:dyDescent="0.2">
      <c r="W490" s="152"/>
      <c r="X490" s="119" t="str">
        <f t="shared" si="15"/>
        <v>1D</v>
      </c>
      <c r="Y490" s="112" t="e">
        <f>_xll.qlCalendarAdvance(Calendar,Y489,X490,"f",FALSE)</f>
        <v>#VALUE!</v>
      </c>
      <c r="Z490" s="114" t="e">
        <f>_xll.qlCalendarAdvance(Calendar,Y490,0&amp;"D")</f>
        <v>#VALUE!</v>
      </c>
      <c r="AA490" s="115" t="e">
        <f ca="1"/>
        <v>#N/A</v>
      </c>
      <c r="AB490" s="151"/>
    </row>
    <row r="491" spans="23:28" x14ac:dyDescent="0.2">
      <c r="W491" s="152"/>
      <c r="X491" s="119" t="str">
        <f t="shared" si="15"/>
        <v>1D</v>
      </c>
      <c r="Y491" s="112" t="e">
        <f>_xll.qlCalendarAdvance(Calendar,Y490,X491,"f",FALSE)</f>
        <v>#VALUE!</v>
      </c>
      <c r="Z491" s="114" t="e">
        <f>_xll.qlCalendarAdvance(Calendar,Y491,0&amp;"D")</f>
        <v>#VALUE!</v>
      </c>
      <c r="AA491" s="115" t="e">
        <f ca="1"/>
        <v>#N/A</v>
      </c>
      <c r="AB491" s="151"/>
    </row>
    <row r="492" spans="23:28" x14ac:dyDescent="0.2">
      <c r="W492" s="152"/>
      <c r="X492" s="119" t="str">
        <f t="shared" si="15"/>
        <v>1D</v>
      </c>
      <c r="Y492" s="112" t="e">
        <f>_xll.qlCalendarAdvance(Calendar,Y491,X492,"f",FALSE)</f>
        <v>#VALUE!</v>
      </c>
      <c r="Z492" s="114" t="e">
        <f>_xll.qlCalendarAdvance(Calendar,Y492,0&amp;"D")</f>
        <v>#VALUE!</v>
      </c>
      <c r="AA492" s="115" t="e">
        <f ca="1"/>
        <v>#N/A</v>
      </c>
      <c r="AB492" s="151"/>
    </row>
    <row r="493" spans="23:28" x14ac:dyDescent="0.2">
      <c r="W493" s="152"/>
      <c r="X493" s="119" t="str">
        <f t="shared" si="15"/>
        <v>1D</v>
      </c>
      <c r="Y493" s="112" t="e">
        <f>_xll.qlCalendarAdvance(Calendar,Y492,X493,"f",FALSE)</f>
        <v>#VALUE!</v>
      </c>
      <c r="Z493" s="114" t="e">
        <f>_xll.qlCalendarAdvance(Calendar,Y493,0&amp;"D")</f>
        <v>#VALUE!</v>
      </c>
      <c r="AA493" s="115" t="e">
        <f ca="1"/>
        <v>#N/A</v>
      </c>
      <c r="AB493" s="151"/>
    </row>
    <row r="494" spans="23:28" x14ac:dyDescent="0.2">
      <c r="W494" s="152"/>
      <c r="X494" s="119" t="str">
        <f t="shared" si="15"/>
        <v>1D</v>
      </c>
      <c r="Y494" s="112" t="e">
        <f>_xll.qlCalendarAdvance(Calendar,Y493,X494,"f",FALSE)</f>
        <v>#VALUE!</v>
      </c>
      <c r="Z494" s="114" t="e">
        <f>_xll.qlCalendarAdvance(Calendar,Y494,0&amp;"D")</f>
        <v>#VALUE!</v>
      </c>
      <c r="AA494" s="115" t="e">
        <f ca="1"/>
        <v>#N/A</v>
      </c>
      <c r="AB494" s="151"/>
    </row>
    <row r="495" spans="23:28" x14ac:dyDescent="0.2">
      <c r="W495" s="152"/>
      <c r="X495" s="119" t="str">
        <f t="shared" si="15"/>
        <v>1D</v>
      </c>
      <c r="Y495" s="112" t="e">
        <f>_xll.qlCalendarAdvance(Calendar,Y494,X495,"f",FALSE)</f>
        <v>#VALUE!</v>
      </c>
      <c r="Z495" s="114" t="e">
        <f>_xll.qlCalendarAdvance(Calendar,Y495,0&amp;"D")</f>
        <v>#VALUE!</v>
      </c>
      <c r="AA495" s="115" t="e">
        <f ca="1"/>
        <v>#N/A</v>
      </c>
      <c r="AB495" s="151"/>
    </row>
    <row r="496" spans="23:28" x14ac:dyDescent="0.2">
      <c r="W496" s="152"/>
      <c r="X496" s="119" t="str">
        <f t="shared" si="15"/>
        <v>1D</v>
      </c>
      <c r="Y496" s="112" t="e">
        <f>_xll.qlCalendarAdvance(Calendar,Y495,X496,"f",FALSE)</f>
        <v>#VALUE!</v>
      </c>
      <c r="Z496" s="114" t="e">
        <f>_xll.qlCalendarAdvance(Calendar,Y496,0&amp;"D")</f>
        <v>#VALUE!</v>
      </c>
      <c r="AA496" s="115" t="e">
        <f ca="1"/>
        <v>#N/A</v>
      </c>
      <c r="AB496" s="151"/>
    </row>
    <row r="497" spans="23:28" x14ac:dyDescent="0.2">
      <c r="W497" s="152"/>
      <c r="X497" s="119" t="str">
        <f t="shared" si="15"/>
        <v>1D</v>
      </c>
      <c r="Y497" s="112" t="e">
        <f>_xll.qlCalendarAdvance(Calendar,Y496,X497,"f",FALSE)</f>
        <v>#VALUE!</v>
      </c>
      <c r="Z497" s="114" t="e">
        <f>_xll.qlCalendarAdvance(Calendar,Y497,0&amp;"D")</f>
        <v>#VALUE!</v>
      </c>
      <c r="AA497" s="115" t="e">
        <f ca="1"/>
        <v>#N/A</v>
      </c>
      <c r="AB497" s="151"/>
    </row>
    <row r="498" spans="23:28" x14ac:dyDescent="0.2">
      <c r="W498" s="152"/>
      <c r="X498" s="119" t="str">
        <f t="shared" si="15"/>
        <v>1D</v>
      </c>
      <c r="Y498" s="112" t="e">
        <f>_xll.qlCalendarAdvance(Calendar,Y497,X498,"f",FALSE)</f>
        <v>#VALUE!</v>
      </c>
      <c r="Z498" s="114" t="e">
        <f>_xll.qlCalendarAdvance(Calendar,Y498,0&amp;"D")</f>
        <v>#VALUE!</v>
      </c>
      <c r="AA498" s="115" t="e">
        <f ca="1"/>
        <v>#N/A</v>
      </c>
      <c r="AB498" s="151"/>
    </row>
    <row r="499" spans="23:28" x14ac:dyDescent="0.2">
      <c r="W499" s="152"/>
      <c r="X499" s="119" t="str">
        <f t="shared" si="15"/>
        <v>1D</v>
      </c>
      <c r="Y499" s="112" t="e">
        <f>_xll.qlCalendarAdvance(Calendar,Y498,X499,"f",FALSE)</f>
        <v>#VALUE!</v>
      </c>
      <c r="Z499" s="114" t="e">
        <f>_xll.qlCalendarAdvance(Calendar,Y499,0&amp;"D")</f>
        <v>#VALUE!</v>
      </c>
      <c r="AA499" s="115" t="e">
        <f ca="1"/>
        <v>#N/A</v>
      </c>
      <c r="AB499" s="151"/>
    </row>
    <row r="500" spans="23:28" x14ac:dyDescent="0.2">
      <c r="W500" s="152"/>
      <c r="X500" s="119" t="str">
        <f t="shared" si="15"/>
        <v>1D</v>
      </c>
      <c r="Y500" s="112" t="e">
        <f>_xll.qlCalendarAdvance(Calendar,Y499,X500,"f",FALSE)</f>
        <v>#VALUE!</v>
      </c>
      <c r="Z500" s="114" t="e">
        <f>_xll.qlCalendarAdvance(Calendar,Y500,0&amp;"D")</f>
        <v>#VALUE!</v>
      </c>
      <c r="AA500" s="115" t="e">
        <f ca="1"/>
        <v>#N/A</v>
      </c>
      <c r="AB500" s="151"/>
    </row>
    <row r="501" spans="23:28" x14ac:dyDescent="0.2">
      <c r="W501" s="152"/>
      <c r="X501" s="119" t="str">
        <f t="shared" si="15"/>
        <v>1D</v>
      </c>
      <c r="Y501" s="112" t="e">
        <f>_xll.qlCalendarAdvance(Calendar,Y500,X501,"f",FALSE)</f>
        <v>#VALUE!</v>
      </c>
      <c r="Z501" s="114" t="e">
        <f>_xll.qlCalendarAdvance(Calendar,Y501,0&amp;"D")</f>
        <v>#VALUE!</v>
      </c>
      <c r="AA501" s="115" t="e">
        <f ca="1"/>
        <v>#N/A</v>
      </c>
      <c r="AB501" s="151"/>
    </row>
    <row r="502" spans="23:28" x14ac:dyDescent="0.2">
      <c r="W502" s="152"/>
      <c r="X502" s="119" t="str">
        <f t="shared" si="15"/>
        <v>1D</v>
      </c>
      <c r="Y502" s="112" t="e">
        <f>_xll.qlCalendarAdvance(Calendar,Y501,X502,"f",FALSE)</f>
        <v>#VALUE!</v>
      </c>
      <c r="Z502" s="114" t="e">
        <f>_xll.qlCalendarAdvance(Calendar,Y502,0&amp;"D")</f>
        <v>#VALUE!</v>
      </c>
      <c r="AA502" s="115" t="e">
        <f ca="1"/>
        <v>#N/A</v>
      </c>
      <c r="AB502" s="151"/>
    </row>
    <row r="503" spans="23:28" x14ac:dyDescent="0.2">
      <c r="W503" s="152"/>
      <c r="X503" s="119" t="str">
        <f t="shared" si="15"/>
        <v>1D</v>
      </c>
      <c r="Y503" s="112" t="e">
        <f>_xll.qlCalendarAdvance(Calendar,Y502,X503,"f",FALSE)</f>
        <v>#VALUE!</v>
      </c>
      <c r="Z503" s="114" t="e">
        <f>_xll.qlCalendarAdvance(Calendar,Y503,0&amp;"D")</f>
        <v>#VALUE!</v>
      </c>
      <c r="AA503" s="115" t="e">
        <f ca="1"/>
        <v>#N/A</v>
      </c>
      <c r="AB503" s="151"/>
    </row>
    <row r="504" spans="23:28" x14ac:dyDescent="0.2">
      <c r="W504" s="152"/>
      <c r="X504" s="119" t="str">
        <f t="shared" si="15"/>
        <v>1D</v>
      </c>
      <c r="Y504" s="112" t="e">
        <f>_xll.qlCalendarAdvance(Calendar,Y503,X504,"f",FALSE)</f>
        <v>#VALUE!</v>
      </c>
      <c r="Z504" s="114" t="e">
        <f>_xll.qlCalendarAdvance(Calendar,Y504,0&amp;"D")</f>
        <v>#VALUE!</v>
      </c>
      <c r="AA504" s="115" t="e">
        <f ca="1"/>
        <v>#N/A</v>
      </c>
      <c r="AB504" s="151"/>
    </row>
    <row r="505" spans="23:28" x14ac:dyDescent="0.2">
      <c r="W505" s="152"/>
      <c r="X505" s="119" t="str">
        <f t="shared" si="15"/>
        <v>1D</v>
      </c>
      <c r="Y505" s="112" t="e">
        <f>_xll.qlCalendarAdvance(Calendar,Y504,X505,"f",FALSE)</f>
        <v>#VALUE!</v>
      </c>
      <c r="Z505" s="114" t="e">
        <f>_xll.qlCalendarAdvance(Calendar,Y505,0&amp;"D")</f>
        <v>#VALUE!</v>
      </c>
      <c r="AA505" s="115" t="e">
        <f ca="1"/>
        <v>#N/A</v>
      </c>
      <c r="AB505" s="151"/>
    </row>
    <row r="506" spans="23:28" x14ac:dyDescent="0.2">
      <c r="W506" s="152"/>
      <c r="X506" s="119" t="str">
        <f t="shared" si="15"/>
        <v>1D</v>
      </c>
      <c r="Y506" s="112" t="e">
        <f>_xll.qlCalendarAdvance(Calendar,Y505,X506,"f",FALSE)</f>
        <v>#VALUE!</v>
      </c>
      <c r="Z506" s="114" t="e">
        <f>_xll.qlCalendarAdvance(Calendar,Y506,0&amp;"D")</f>
        <v>#VALUE!</v>
      </c>
      <c r="AA506" s="115" t="e">
        <f ca="1"/>
        <v>#N/A</v>
      </c>
      <c r="AB506" s="151"/>
    </row>
    <row r="507" spans="23:28" x14ac:dyDescent="0.2">
      <c r="W507" s="152"/>
      <c r="X507" s="119" t="str">
        <f t="shared" si="15"/>
        <v>1D</v>
      </c>
      <c r="Y507" s="112" t="e">
        <f>_xll.qlCalendarAdvance(Calendar,Y506,X507,"f",FALSE)</f>
        <v>#VALUE!</v>
      </c>
      <c r="Z507" s="114" t="e">
        <f>_xll.qlCalendarAdvance(Calendar,Y507,0&amp;"D")</f>
        <v>#VALUE!</v>
      </c>
      <c r="AA507" s="115" t="e">
        <f ca="1"/>
        <v>#N/A</v>
      </c>
      <c r="AB507" s="151"/>
    </row>
    <row r="508" spans="23:28" x14ac:dyDescent="0.2">
      <c r="W508" s="152"/>
      <c r="X508" s="119" t="str">
        <f t="shared" si="15"/>
        <v>1D</v>
      </c>
      <c r="Y508" s="112" t="e">
        <f>_xll.qlCalendarAdvance(Calendar,Y507,X508,"f",FALSE)</f>
        <v>#VALUE!</v>
      </c>
      <c r="Z508" s="114" t="e">
        <f>_xll.qlCalendarAdvance(Calendar,Y508,0&amp;"D")</f>
        <v>#VALUE!</v>
      </c>
      <c r="AA508" s="115" t="e">
        <f ca="1"/>
        <v>#N/A</v>
      </c>
      <c r="AB508" s="151"/>
    </row>
    <row r="509" spans="23:28" x14ac:dyDescent="0.2">
      <c r="W509" s="152"/>
      <c r="X509" s="119" t="str">
        <f t="shared" si="15"/>
        <v>1D</v>
      </c>
      <c r="Y509" s="112" t="e">
        <f>_xll.qlCalendarAdvance(Calendar,Y508,X509,"f",FALSE)</f>
        <v>#VALUE!</v>
      </c>
      <c r="Z509" s="114" t="e">
        <f>_xll.qlCalendarAdvance(Calendar,Y509,0&amp;"D")</f>
        <v>#VALUE!</v>
      </c>
      <c r="AA509" s="115" t="e">
        <f ca="1"/>
        <v>#N/A</v>
      </c>
      <c r="AB509" s="151"/>
    </row>
    <row r="510" spans="23:28" x14ac:dyDescent="0.2">
      <c r="W510" s="152"/>
      <c r="X510" s="119" t="str">
        <f t="shared" si="15"/>
        <v>1D</v>
      </c>
      <c r="Y510" s="112" t="e">
        <f>_xll.qlCalendarAdvance(Calendar,Y509,X510,"f",FALSE)</f>
        <v>#VALUE!</v>
      </c>
      <c r="Z510" s="114" t="e">
        <f>_xll.qlCalendarAdvance(Calendar,Y510,0&amp;"D")</f>
        <v>#VALUE!</v>
      </c>
      <c r="AA510" s="115" t="e">
        <f ca="1"/>
        <v>#N/A</v>
      </c>
      <c r="AB510" s="151"/>
    </row>
    <row r="511" spans="23:28" x14ac:dyDescent="0.2">
      <c r="W511" s="152"/>
      <c r="X511" s="119" t="str">
        <f t="shared" si="15"/>
        <v>1D</v>
      </c>
      <c r="Y511" s="112" t="e">
        <f>_xll.qlCalendarAdvance(Calendar,Y510,X511,"f",FALSE)</f>
        <v>#VALUE!</v>
      </c>
      <c r="Z511" s="114" t="e">
        <f>_xll.qlCalendarAdvance(Calendar,Y511,0&amp;"D")</f>
        <v>#VALUE!</v>
      </c>
      <c r="AA511" s="115" t="e">
        <f ca="1"/>
        <v>#N/A</v>
      </c>
      <c r="AB511" s="151"/>
    </row>
    <row r="512" spans="23:28" x14ac:dyDescent="0.2">
      <c r="W512" s="152"/>
      <c r="X512" s="119" t="str">
        <f t="shared" si="15"/>
        <v>1D</v>
      </c>
      <c r="Y512" s="112" t="e">
        <f>_xll.qlCalendarAdvance(Calendar,Y511,X512,"f",FALSE)</f>
        <v>#VALUE!</v>
      </c>
      <c r="Z512" s="114" t="e">
        <f>_xll.qlCalendarAdvance(Calendar,Y512,0&amp;"D")</f>
        <v>#VALUE!</v>
      </c>
      <c r="AA512" s="115" t="e">
        <f ca="1"/>
        <v>#N/A</v>
      </c>
      <c r="AB512" s="151"/>
    </row>
    <row r="513" spans="23:28" x14ac:dyDescent="0.2">
      <c r="W513" s="152"/>
      <c r="X513" s="119" t="str">
        <f t="shared" si="15"/>
        <v>1D</v>
      </c>
      <c r="Y513" s="112" t="e">
        <f>_xll.qlCalendarAdvance(Calendar,Y512,X513,"f",FALSE)</f>
        <v>#VALUE!</v>
      </c>
      <c r="Z513" s="114" t="e">
        <f>_xll.qlCalendarAdvance(Calendar,Y513,0&amp;"D")</f>
        <v>#VALUE!</v>
      </c>
      <c r="AA513" s="115" t="e">
        <f ca="1"/>
        <v>#N/A</v>
      </c>
      <c r="AB513" s="151"/>
    </row>
    <row r="514" spans="23:28" x14ac:dyDescent="0.2">
      <c r="W514" s="152"/>
      <c r="X514" s="119" t="str">
        <f t="shared" si="15"/>
        <v>1D</v>
      </c>
      <c r="Y514" s="112" t="e">
        <f>_xll.qlCalendarAdvance(Calendar,Y513,X514,"f",FALSE)</f>
        <v>#VALUE!</v>
      </c>
      <c r="Z514" s="114" t="e">
        <f>_xll.qlCalendarAdvance(Calendar,Y514,0&amp;"D")</f>
        <v>#VALUE!</v>
      </c>
      <c r="AA514" s="115" t="e">
        <f ca="1"/>
        <v>#N/A</v>
      </c>
      <c r="AB514" s="151"/>
    </row>
    <row r="515" spans="23:28" x14ac:dyDescent="0.2">
      <c r="W515" s="152"/>
      <c r="X515" s="119" t="str">
        <f t="shared" si="15"/>
        <v>1D</v>
      </c>
      <c r="Y515" s="112" t="e">
        <f>_xll.qlCalendarAdvance(Calendar,Y514,X515,"f",FALSE)</f>
        <v>#VALUE!</v>
      </c>
      <c r="Z515" s="114" t="e">
        <f>_xll.qlCalendarAdvance(Calendar,Y515,0&amp;"D")</f>
        <v>#VALUE!</v>
      </c>
      <c r="AA515" s="115" t="e">
        <f ca="1"/>
        <v>#N/A</v>
      </c>
      <c r="AB515" s="151"/>
    </row>
    <row r="516" spans="23:28" x14ac:dyDescent="0.2">
      <c r="W516" s="152"/>
      <c r="X516" s="119" t="str">
        <f t="shared" si="15"/>
        <v>1D</v>
      </c>
      <c r="Y516" s="112" t="e">
        <f>_xll.qlCalendarAdvance(Calendar,Y515,X516,"f",FALSE)</f>
        <v>#VALUE!</v>
      </c>
      <c r="Z516" s="114" t="e">
        <f>_xll.qlCalendarAdvance(Calendar,Y516,0&amp;"D")</f>
        <v>#VALUE!</v>
      </c>
      <c r="AA516" s="115" t="e">
        <f ca="1"/>
        <v>#N/A</v>
      </c>
      <c r="AB516" s="151"/>
    </row>
    <row r="517" spans="23:28" x14ac:dyDescent="0.2">
      <c r="W517" s="152"/>
      <c r="X517" s="119" t="str">
        <f t="shared" si="15"/>
        <v>1D</v>
      </c>
      <c r="Y517" s="112" t="e">
        <f>_xll.qlCalendarAdvance(Calendar,Y516,X517,"f",FALSE)</f>
        <v>#VALUE!</v>
      </c>
      <c r="Z517" s="114" t="e">
        <f>_xll.qlCalendarAdvance(Calendar,Y517,0&amp;"D")</f>
        <v>#VALUE!</v>
      </c>
      <c r="AA517" s="115" t="e">
        <f ca="1"/>
        <v>#N/A</v>
      </c>
      <c r="AB517" s="151"/>
    </row>
    <row r="518" spans="23:28" x14ac:dyDescent="0.2">
      <c r="W518" s="152"/>
      <c r="X518" s="119" t="str">
        <f t="shared" si="15"/>
        <v>1D</v>
      </c>
      <c r="Y518" s="112" t="e">
        <f>_xll.qlCalendarAdvance(Calendar,Y517,X518,"f",FALSE)</f>
        <v>#VALUE!</v>
      </c>
      <c r="Z518" s="114" t="e">
        <f>_xll.qlCalendarAdvance(Calendar,Y518,0&amp;"D")</f>
        <v>#VALUE!</v>
      </c>
      <c r="AA518" s="115" t="e">
        <f ca="1"/>
        <v>#N/A</v>
      </c>
      <c r="AB518" s="151"/>
    </row>
    <row r="519" spans="23:28" x14ac:dyDescent="0.2">
      <c r="W519" s="152"/>
      <c r="X519" s="119" t="str">
        <f t="shared" si="15"/>
        <v>1D</v>
      </c>
      <c r="Y519" s="112" t="e">
        <f>_xll.qlCalendarAdvance(Calendar,Y518,X519,"f",FALSE)</f>
        <v>#VALUE!</v>
      </c>
      <c r="Z519" s="114" t="e">
        <f>_xll.qlCalendarAdvance(Calendar,Y519,0&amp;"D")</f>
        <v>#VALUE!</v>
      </c>
      <c r="AA519" s="115" t="e">
        <f ca="1"/>
        <v>#N/A</v>
      </c>
      <c r="AB519" s="151"/>
    </row>
    <row r="520" spans="23:28" x14ac:dyDescent="0.2">
      <c r="W520" s="152"/>
      <c r="X520" s="119" t="str">
        <f t="shared" si="15"/>
        <v>1D</v>
      </c>
      <c r="Y520" s="112" t="e">
        <f>_xll.qlCalendarAdvance(Calendar,Y519,X520,"f",FALSE)</f>
        <v>#VALUE!</v>
      </c>
      <c r="Z520" s="114" t="e">
        <f>_xll.qlCalendarAdvance(Calendar,Y520,0&amp;"D")</f>
        <v>#VALUE!</v>
      </c>
      <c r="AA520" s="115" t="e">
        <f ca="1"/>
        <v>#N/A</v>
      </c>
      <c r="AB520" s="151"/>
    </row>
    <row r="521" spans="23:28" x14ac:dyDescent="0.2">
      <c r="W521" s="152"/>
      <c r="X521" s="119" t="str">
        <f t="shared" si="15"/>
        <v>1D</v>
      </c>
      <c r="Y521" s="112" t="e">
        <f>_xll.qlCalendarAdvance(Calendar,Y520,X521,"f",FALSE)</f>
        <v>#VALUE!</v>
      </c>
      <c r="Z521" s="114" t="e">
        <f>_xll.qlCalendarAdvance(Calendar,Y521,0&amp;"D")</f>
        <v>#VALUE!</v>
      </c>
      <c r="AA521" s="115" t="e">
        <f ca="1"/>
        <v>#N/A</v>
      </c>
      <c r="AB521" s="151"/>
    </row>
    <row r="522" spans="23:28" x14ac:dyDescent="0.2">
      <c r="W522" s="152"/>
      <c r="X522" s="119" t="str">
        <f t="shared" si="15"/>
        <v>1D</v>
      </c>
      <c r="Y522" s="112" t="e">
        <f>_xll.qlCalendarAdvance(Calendar,Y521,X522,"f",FALSE)</f>
        <v>#VALUE!</v>
      </c>
      <c r="Z522" s="114" t="e">
        <f>_xll.qlCalendarAdvance(Calendar,Y522,0&amp;"D")</f>
        <v>#VALUE!</v>
      </c>
      <c r="AA522" s="115" t="e">
        <f ca="1"/>
        <v>#N/A</v>
      </c>
      <c r="AB522" s="151"/>
    </row>
    <row r="523" spans="23:28" x14ac:dyDescent="0.2">
      <c r="W523" s="152"/>
      <c r="X523" s="119" t="str">
        <f t="shared" si="15"/>
        <v>1D</v>
      </c>
      <c r="Y523" s="112" t="e">
        <f>_xll.qlCalendarAdvance(Calendar,Y522,X523,"f",FALSE)</f>
        <v>#VALUE!</v>
      </c>
      <c r="Z523" s="114" t="e">
        <f>_xll.qlCalendarAdvance(Calendar,Y523,0&amp;"D")</f>
        <v>#VALUE!</v>
      </c>
      <c r="AA523" s="115" t="e">
        <f ca="1"/>
        <v>#N/A</v>
      </c>
      <c r="AB523" s="151"/>
    </row>
    <row r="524" spans="23:28" x14ac:dyDescent="0.2">
      <c r="W524" s="152"/>
      <c r="X524" s="119" t="str">
        <f t="shared" si="15"/>
        <v>1D</v>
      </c>
      <c r="Y524" s="112" t="e">
        <f>_xll.qlCalendarAdvance(Calendar,Y523,X524,"f",FALSE)</f>
        <v>#VALUE!</v>
      </c>
      <c r="Z524" s="114" t="e">
        <f>_xll.qlCalendarAdvance(Calendar,Y524,0&amp;"D")</f>
        <v>#VALUE!</v>
      </c>
      <c r="AA524" s="115" t="e">
        <f ca="1"/>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f ca="1"/>
        <v>#N/A</v>
      </c>
      <c r="AB525" s="151"/>
    </row>
    <row r="526" spans="23:28" x14ac:dyDescent="0.2">
      <c r="W526" s="152"/>
      <c r="X526" s="119" t="str">
        <f t="shared" si="16"/>
        <v>1D</v>
      </c>
      <c r="Y526" s="112" t="e">
        <f>_xll.qlCalendarAdvance(Calendar,Y525,X526,"f",FALSE)</f>
        <v>#VALUE!</v>
      </c>
      <c r="Z526" s="114" t="e">
        <f>_xll.qlCalendarAdvance(Calendar,Y526,0&amp;"D")</f>
        <v>#VALUE!</v>
      </c>
      <c r="AA526" s="115" t="e">
        <f ca="1"/>
        <v>#N/A</v>
      </c>
      <c r="AB526" s="151"/>
    </row>
    <row r="527" spans="23:28" x14ac:dyDescent="0.2">
      <c r="W527" s="152"/>
      <c r="X527" s="119" t="str">
        <f t="shared" si="16"/>
        <v>1D</v>
      </c>
      <c r="Y527" s="112" t="e">
        <f>_xll.qlCalendarAdvance(Calendar,Y526,X527,"f",FALSE)</f>
        <v>#VALUE!</v>
      </c>
      <c r="Z527" s="114" t="e">
        <f>_xll.qlCalendarAdvance(Calendar,Y527,0&amp;"D")</f>
        <v>#VALUE!</v>
      </c>
      <c r="AA527" s="115" t="e">
        <f ca="1"/>
        <v>#N/A</v>
      </c>
      <c r="AB527" s="151"/>
    </row>
    <row r="528" spans="23:28" x14ac:dyDescent="0.2">
      <c r="W528" s="152"/>
      <c r="X528" s="119" t="str">
        <f t="shared" si="16"/>
        <v>1D</v>
      </c>
      <c r="Y528" s="112" t="e">
        <f>_xll.qlCalendarAdvance(Calendar,Y527,X528,"f",FALSE)</f>
        <v>#VALUE!</v>
      </c>
      <c r="Z528" s="114" t="e">
        <f>_xll.qlCalendarAdvance(Calendar,Y528,0&amp;"D")</f>
        <v>#VALUE!</v>
      </c>
      <c r="AA528" s="115" t="e">
        <f ca="1"/>
        <v>#N/A</v>
      </c>
      <c r="AB528" s="151"/>
    </row>
    <row r="529" spans="23:28" x14ac:dyDescent="0.2">
      <c r="W529" s="152"/>
      <c r="X529" s="119" t="s">
        <v>112</v>
      </c>
      <c r="Y529" s="112" t="e">
        <f>_xll.qlCalendarAdvance(Calendar,Y528,X529,"f",FALSE)</f>
        <v>#VALUE!</v>
      </c>
      <c r="Z529" s="114" t="e">
        <f>_xll.qlCalendarAdvance(Calendar,Y529,0&amp;"D")</f>
        <v>#VALUE!</v>
      </c>
      <c r="AA529" s="115" t="e">
        <f ca="1"/>
        <v>#N/A</v>
      </c>
      <c r="AB529" s="151"/>
    </row>
    <row r="530" spans="23:28" x14ac:dyDescent="0.2">
      <c r="W530" s="152"/>
      <c r="X530" s="119" t="str">
        <f t="shared" si="16"/>
        <v>1w</v>
      </c>
      <c r="Y530" s="112" t="e">
        <f>_xll.qlCalendarAdvance(Calendar,Y529,X530,"f",FALSE)</f>
        <v>#VALUE!</v>
      </c>
      <c r="Z530" s="114" t="e">
        <f>_xll.qlCalendarAdvance(Calendar,Y530,0&amp;"D")</f>
        <v>#VALUE!</v>
      </c>
      <c r="AA530" s="115" t="e">
        <f ca="1"/>
        <v>#N/A</v>
      </c>
      <c r="AB530" s="151"/>
    </row>
    <row r="531" spans="23:28" x14ac:dyDescent="0.2">
      <c r="W531" s="152"/>
      <c r="X531" s="119" t="str">
        <f t="shared" si="16"/>
        <v>1w</v>
      </c>
      <c r="Y531" s="112" t="e">
        <f>_xll.qlCalendarAdvance(Calendar,Y530,X531,"f",FALSE)</f>
        <v>#VALUE!</v>
      </c>
      <c r="Z531" s="114" t="e">
        <f>_xll.qlCalendarAdvance(Calendar,Y531,0&amp;"D")</f>
        <v>#VALUE!</v>
      </c>
      <c r="AA531" s="115" t="e">
        <f ca="1"/>
        <v>#N/A</v>
      </c>
      <c r="AB531" s="151"/>
    </row>
    <row r="532" spans="23:28" x14ac:dyDescent="0.2">
      <c r="W532" s="152"/>
      <c r="X532" s="119" t="str">
        <f t="shared" si="16"/>
        <v>1w</v>
      </c>
      <c r="Y532" s="112" t="e">
        <f>_xll.qlCalendarAdvance(Calendar,Y531,X532,"f",FALSE)</f>
        <v>#VALUE!</v>
      </c>
      <c r="Z532" s="114" t="e">
        <f>_xll.qlCalendarAdvance(Calendar,Y532,0&amp;"D")</f>
        <v>#VALUE!</v>
      </c>
      <c r="AA532" s="115" t="e">
        <f ca="1"/>
        <v>#N/A</v>
      </c>
      <c r="AB532" s="151"/>
    </row>
    <row r="533" spans="23:28" x14ac:dyDescent="0.2">
      <c r="W533" s="152"/>
      <c r="X533" s="119" t="str">
        <f t="shared" si="16"/>
        <v>1w</v>
      </c>
      <c r="Y533" s="112" t="e">
        <f>_xll.qlCalendarAdvance(Calendar,Y532,X533,"f",FALSE)</f>
        <v>#VALUE!</v>
      </c>
      <c r="Z533" s="114" t="e">
        <f>_xll.qlCalendarAdvance(Calendar,Y533,0&amp;"D")</f>
        <v>#VALUE!</v>
      </c>
      <c r="AA533" s="115" t="e">
        <f ca="1"/>
        <v>#N/A</v>
      </c>
      <c r="AB533" s="151"/>
    </row>
    <row r="534" spans="23:28" x14ac:dyDescent="0.2">
      <c r="W534" s="152"/>
      <c r="X534" s="119" t="str">
        <f t="shared" si="16"/>
        <v>1w</v>
      </c>
      <c r="Y534" s="112" t="e">
        <f>_xll.qlCalendarAdvance(Calendar,Y533,X534,"f",FALSE)</f>
        <v>#VALUE!</v>
      </c>
      <c r="Z534" s="114" t="e">
        <f>_xll.qlCalendarAdvance(Calendar,Y534,0&amp;"D")</f>
        <v>#VALUE!</v>
      </c>
      <c r="AA534" s="115" t="e">
        <f ca="1"/>
        <v>#N/A</v>
      </c>
      <c r="AB534" s="151"/>
    </row>
    <row r="535" spans="23:28" x14ac:dyDescent="0.2">
      <c r="W535" s="152"/>
      <c r="X535" s="119" t="str">
        <f t="shared" si="16"/>
        <v>1w</v>
      </c>
      <c r="Y535" s="112" t="e">
        <f>_xll.qlCalendarAdvance(Calendar,Y534,X535,"f",FALSE)</f>
        <v>#VALUE!</v>
      </c>
      <c r="Z535" s="114" t="e">
        <f>_xll.qlCalendarAdvance(Calendar,Y535,0&amp;"D")</f>
        <v>#VALUE!</v>
      </c>
      <c r="AA535" s="115" t="e">
        <f ca="1"/>
        <v>#N/A</v>
      </c>
      <c r="AB535" s="151"/>
    </row>
    <row r="536" spans="23:28" x14ac:dyDescent="0.2">
      <c r="W536" s="152"/>
      <c r="X536" s="119" t="str">
        <f t="shared" si="16"/>
        <v>1w</v>
      </c>
      <c r="Y536" s="112" t="e">
        <f>_xll.qlCalendarAdvance(Calendar,Y535,X536,"f",FALSE)</f>
        <v>#VALUE!</v>
      </c>
      <c r="Z536" s="114" t="e">
        <f>_xll.qlCalendarAdvance(Calendar,Y536,0&amp;"D")</f>
        <v>#VALUE!</v>
      </c>
      <c r="AA536" s="115" t="e">
        <f ca="1"/>
        <v>#N/A</v>
      </c>
      <c r="AB536" s="151"/>
    </row>
    <row r="537" spans="23:28" x14ac:dyDescent="0.2">
      <c r="W537" s="152"/>
      <c r="X537" s="119" t="str">
        <f t="shared" si="16"/>
        <v>1w</v>
      </c>
      <c r="Y537" s="112" t="e">
        <f>_xll.qlCalendarAdvance(Calendar,Y536,X537,"f",FALSE)</f>
        <v>#VALUE!</v>
      </c>
      <c r="Z537" s="114" t="e">
        <f>_xll.qlCalendarAdvance(Calendar,Y537,0&amp;"D")</f>
        <v>#VALUE!</v>
      </c>
      <c r="AA537" s="115" t="e">
        <f ca="1"/>
        <v>#N/A</v>
      </c>
      <c r="AB537" s="151"/>
    </row>
    <row r="538" spans="23:28" x14ac:dyDescent="0.2">
      <c r="W538" s="152"/>
      <c r="X538" s="119" t="str">
        <f t="shared" si="16"/>
        <v>1w</v>
      </c>
      <c r="Y538" s="112" t="e">
        <f>_xll.qlCalendarAdvance(Calendar,Y537,X538,"f",FALSE)</f>
        <v>#VALUE!</v>
      </c>
      <c r="Z538" s="114" t="e">
        <f>_xll.qlCalendarAdvance(Calendar,Y538,0&amp;"D")</f>
        <v>#VALUE!</v>
      </c>
      <c r="AA538" s="115" t="e">
        <f ca="1"/>
        <v>#N/A</v>
      </c>
      <c r="AB538" s="151"/>
    </row>
    <row r="539" spans="23:28" x14ac:dyDescent="0.2">
      <c r="W539" s="152"/>
      <c r="X539" s="119" t="str">
        <f t="shared" si="16"/>
        <v>1w</v>
      </c>
      <c r="Y539" s="112" t="e">
        <f>_xll.qlCalendarAdvance(Calendar,Y538,X539,"f",FALSE)</f>
        <v>#VALUE!</v>
      </c>
      <c r="Z539" s="114" t="e">
        <f>_xll.qlCalendarAdvance(Calendar,Y539,0&amp;"D")</f>
        <v>#VALUE!</v>
      </c>
      <c r="AA539" s="115" t="e">
        <f ca="1"/>
        <v>#N/A</v>
      </c>
      <c r="AB539" s="151"/>
    </row>
    <row r="540" spans="23:28" x14ac:dyDescent="0.2">
      <c r="W540" s="152"/>
      <c r="X540" s="119" t="str">
        <f t="shared" si="16"/>
        <v>1w</v>
      </c>
      <c r="Y540" s="112" t="e">
        <f>_xll.qlCalendarAdvance(Calendar,Y539,X540,"f",FALSE)</f>
        <v>#VALUE!</v>
      </c>
      <c r="Z540" s="114" t="e">
        <f>_xll.qlCalendarAdvance(Calendar,Y540,0&amp;"D")</f>
        <v>#VALUE!</v>
      </c>
      <c r="AA540" s="115" t="e">
        <f ca="1"/>
        <v>#N/A</v>
      </c>
      <c r="AB540" s="151"/>
    </row>
    <row r="541" spans="23:28" x14ac:dyDescent="0.2">
      <c r="W541" s="152"/>
      <c r="X541" s="119" t="str">
        <f t="shared" si="16"/>
        <v>1w</v>
      </c>
      <c r="Y541" s="112" t="e">
        <f>_xll.qlCalendarAdvance(Calendar,Y540,X541,"f",FALSE)</f>
        <v>#VALUE!</v>
      </c>
      <c r="Z541" s="114" t="e">
        <f>_xll.qlCalendarAdvance(Calendar,Y541,0&amp;"D")</f>
        <v>#VALUE!</v>
      </c>
      <c r="AA541" s="115" t="e">
        <f ca="1"/>
        <v>#N/A</v>
      </c>
      <c r="AB541" s="151"/>
    </row>
    <row r="542" spans="23:28" x14ac:dyDescent="0.2">
      <c r="W542" s="152"/>
      <c r="X542" s="119" t="str">
        <f t="shared" si="16"/>
        <v>1w</v>
      </c>
      <c r="Y542" s="112" t="e">
        <f>_xll.qlCalendarAdvance(Calendar,Y541,X542,"f",FALSE)</f>
        <v>#VALUE!</v>
      </c>
      <c r="Z542" s="114" t="e">
        <f>_xll.qlCalendarAdvance(Calendar,Y542,0&amp;"D")</f>
        <v>#VALUE!</v>
      </c>
      <c r="AA542" s="115" t="e">
        <f ca="1"/>
        <v>#N/A</v>
      </c>
      <c r="AB542" s="151"/>
    </row>
    <row r="543" spans="23:28" x14ac:dyDescent="0.2">
      <c r="W543" s="152"/>
      <c r="X543" s="119" t="str">
        <f t="shared" si="16"/>
        <v>1w</v>
      </c>
      <c r="Y543" s="112" t="e">
        <f>_xll.qlCalendarAdvance(Calendar,Y542,X543,"f",FALSE)</f>
        <v>#VALUE!</v>
      </c>
      <c r="Z543" s="114" t="e">
        <f>_xll.qlCalendarAdvance(Calendar,Y543,0&amp;"D")</f>
        <v>#VALUE!</v>
      </c>
      <c r="AA543" s="115" t="e">
        <f ca="1"/>
        <v>#N/A</v>
      </c>
      <c r="AB543" s="151"/>
    </row>
    <row r="544" spans="23:28" x14ac:dyDescent="0.2">
      <c r="W544" s="152"/>
      <c r="X544" s="119" t="str">
        <f t="shared" si="16"/>
        <v>1w</v>
      </c>
      <c r="Y544" s="112" t="e">
        <f>_xll.qlCalendarAdvance(Calendar,Y543,X544,"f",FALSE)</f>
        <v>#VALUE!</v>
      </c>
      <c r="Z544" s="114" t="e">
        <f>_xll.qlCalendarAdvance(Calendar,Y544,0&amp;"D")</f>
        <v>#VALUE!</v>
      </c>
      <c r="AA544" s="115" t="e">
        <f ca="1"/>
        <v>#N/A</v>
      </c>
      <c r="AB544" s="151"/>
    </row>
    <row r="545" spans="23:28" x14ac:dyDescent="0.2">
      <c r="W545" s="152"/>
      <c r="X545" s="119" t="str">
        <f t="shared" si="16"/>
        <v>1w</v>
      </c>
      <c r="Y545" s="112" t="e">
        <f>_xll.qlCalendarAdvance(Calendar,Y544,X545,"f",FALSE)</f>
        <v>#VALUE!</v>
      </c>
      <c r="Z545" s="114" t="e">
        <f>_xll.qlCalendarAdvance(Calendar,Y545,0&amp;"D")</f>
        <v>#VALUE!</v>
      </c>
      <c r="AA545" s="115" t="e">
        <f ca="1"/>
        <v>#N/A</v>
      </c>
      <c r="AB545" s="151"/>
    </row>
    <row r="546" spans="23:28" x14ac:dyDescent="0.2">
      <c r="W546" s="152"/>
      <c r="X546" s="119" t="str">
        <f t="shared" si="16"/>
        <v>1w</v>
      </c>
      <c r="Y546" s="112" t="e">
        <f>_xll.qlCalendarAdvance(Calendar,Y545,X546,"f",FALSE)</f>
        <v>#VALUE!</v>
      </c>
      <c r="Z546" s="114" t="e">
        <f>_xll.qlCalendarAdvance(Calendar,Y546,0&amp;"D")</f>
        <v>#VALUE!</v>
      </c>
      <c r="AA546" s="115" t="e">
        <f ca="1"/>
        <v>#N/A</v>
      </c>
      <c r="AB546" s="151"/>
    </row>
    <row r="547" spans="23:28" x14ac:dyDescent="0.2">
      <c r="W547" s="152"/>
      <c r="X547" s="119" t="str">
        <f t="shared" si="16"/>
        <v>1w</v>
      </c>
      <c r="Y547" s="112" t="e">
        <f>_xll.qlCalendarAdvance(Calendar,Y546,X547,"f",FALSE)</f>
        <v>#VALUE!</v>
      </c>
      <c r="Z547" s="114" t="e">
        <f>_xll.qlCalendarAdvance(Calendar,Y547,0&amp;"D")</f>
        <v>#VALUE!</v>
      </c>
      <c r="AA547" s="115" t="e">
        <f ca="1"/>
        <v>#N/A</v>
      </c>
      <c r="AB547" s="151"/>
    </row>
    <row r="548" spans="23:28" x14ac:dyDescent="0.2">
      <c r="W548" s="152"/>
      <c r="X548" s="119" t="str">
        <f t="shared" si="16"/>
        <v>1w</v>
      </c>
      <c r="Y548" s="112" t="e">
        <f>_xll.qlCalendarAdvance(Calendar,Y547,X548,"f",FALSE)</f>
        <v>#VALUE!</v>
      </c>
      <c r="Z548" s="114" t="e">
        <f>_xll.qlCalendarAdvance(Calendar,Y548,0&amp;"D")</f>
        <v>#VALUE!</v>
      </c>
      <c r="AA548" s="115" t="e">
        <f ca="1"/>
        <v>#N/A</v>
      </c>
      <c r="AB548" s="151"/>
    </row>
    <row r="549" spans="23:28" x14ac:dyDescent="0.2">
      <c r="W549" s="152"/>
      <c r="X549" s="119" t="str">
        <f t="shared" si="16"/>
        <v>1w</v>
      </c>
      <c r="Y549" s="112" t="e">
        <f>_xll.qlCalendarAdvance(Calendar,Y548,X549,"f",FALSE)</f>
        <v>#VALUE!</v>
      </c>
      <c r="Z549" s="114" t="e">
        <f>_xll.qlCalendarAdvance(Calendar,Y549,0&amp;"D")</f>
        <v>#VALUE!</v>
      </c>
      <c r="AA549" s="115" t="e">
        <f ca="1"/>
        <v>#N/A</v>
      </c>
      <c r="AB549" s="151"/>
    </row>
    <row r="550" spans="23:28" x14ac:dyDescent="0.2">
      <c r="W550" s="152"/>
      <c r="X550" s="119" t="str">
        <f t="shared" si="16"/>
        <v>1w</v>
      </c>
      <c r="Y550" s="112" t="e">
        <f>_xll.qlCalendarAdvance(Calendar,Y549,X550,"f",FALSE)</f>
        <v>#VALUE!</v>
      </c>
      <c r="Z550" s="114" t="e">
        <f>_xll.qlCalendarAdvance(Calendar,Y550,0&amp;"D")</f>
        <v>#VALUE!</v>
      </c>
      <c r="AA550" s="115" t="e">
        <f ca="1"/>
        <v>#N/A</v>
      </c>
      <c r="AB550" s="151"/>
    </row>
    <row r="551" spans="23:28" x14ac:dyDescent="0.2">
      <c r="W551" s="152"/>
      <c r="X551" s="119" t="str">
        <f t="shared" si="16"/>
        <v>1w</v>
      </c>
      <c r="Y551" s="112" t="e">
        <f>_xll.qlCalendarAdvance(Calendar,Y550,X551,"f",FALSE)</f>
        <v>#VALUE!</v>
      </c>
      <c r="Z551" s="114" t="e">
        <f>_xll.qlCalendarAdvance(Calendar,Y551,0&amp;"D")</f>
        <v>#VALUE!</v>
      </c>
      <c r="AA551" s="115" t="e">
        <f ca="1"/>
        <v>#N/A</v>
      </c>
      <c r="AB551" s="151"/>
    </row>
    <row r="552" spans="23:28" x14ac:dyDescent="0.2">
      <c r="W552" s="152"/>
      <c r="X552" s="119" t="str">
        <f t="shared" si="16"/>
        <v>1w</v>
      </c>
      <c r="Y552" s="112" t="e">
        <f>_xll.qlCalendarAdvance(Calendar,Y551,X552,"f",FALSE)</f>
        <v>#VALUE!</v>
      </c>
      <c r="Z552" s="114" t="e">
        <f>_xll.qlCalendarAdvance(Calendar,Y552,0&amp;"D")</f>
        <v>#VALUE!</v>
      </c>
      <c r="AA552" s="115" t="e">
        <f ca="1"/>
        <v>#N/A</v>
      </c>
      <c r="AB552" s="151"/>
    </row>
    <row r="553" spans="23:28" x14ac:dyDescent="0.2">
      <c r="W553" s="152"/>
      <c r="X553" s="119" t="str">
        <f t="shared" si="16"/>
        <v>1w</v>
      </c>
      <c r="Y553" s="112" t="e">
        <f>_xll.qlCalendarAdvance(Calendar,Y552,X553,"f",FALSE)</f>
        <v>#VALUE!</v>
      </c>
      <c r="Z553" s="114" t="e">
        <f>_xll.qlCalendarAdvance(Calendar,Y553,0&amp;"D")</f>
        <v>#VALUE!</v>
      </c>
      <c r="AA553" s="115" t="e">
        <f ca="1"/>
        <v>#N/A</v>
      </c>
      <c r="AB553" s="151"/>
    </row>
    <row r="554" spans="23:28" x14ac:dyDescent="0.2">
      <c r="W554" s="152"/>
      <c r="X554" s="119" t="str">
        <f t="shared" si="16"/>
        <v>1w</v>
      </c>
      <c r="Y554" s="112" t="e">
        <f>_xll.qlCalendarAdvance(Calendar,Y553,X554,"f",FALSE)</f>
        <v>#VALUE!</v>
      </c>
      <c r="Z554" s="114" t="e">
        <f>_xll.qlCalendarAdvance(Calendar,Y554,0&amp;"D")</f>
        <v>#VALUE!</v>
      </c>
      <c r="AA554" s="115" t="e">
        <f ca="1"/>
        <v>#N/A</v>
      </c>
      <c r="AB554" s="151"/>
    </row>
    <row r="555" spans="23:28" x14ac:dyDescent="0.2">
      <c r="W555" s="152"/>
      <c r="X555" s="119" t="str">
        <f t="shared" si="16"/>
        <v>1w</v>
      </c>
      <c r="Y555" s="112" t="e">
        <f>_xll.qlCalendarAdvance(Calendar,Y554,X555,"f",FALSE)</f>
        <v>#VALUE!</v>
      </c>
      <c r="Z555" s="114" t="e">
        <f>_xll.qlCalendarAdvance(Calendar,Y555,0&amp;"D")</f>
        <v>#VALUE!</v>
      </c>
      <c r="AA555" s="115" t="e">
        <f ca="1"/>
        <v>#N/A</v>
      </c>
      <c r="AB555" s="151"/>
    </row>
    <row r="556" spans="23:28" x14ac:dyDescent="0.2">
      <c r="W556" s="152"/>
      <c r="X556" s="119" t="str">
        <f t="shared" si="16"/>
        <v>1w</v>
      </c>
      <c r="Y556" s="112" t="e">
        <f>_xll.qlCalendarAdvance(Calendar,Y555,X556,"f",FALSE)</f>
        <v>#VALUE!</v>
      </c>
      <c r="Z556" s="114" t="e">
        <f>_xll.qlCalendarAdvance(Calendar,Y556,0&amp;"D")</f>
        <v>#VALUE!</v>
      </c>
      <c r="AA556" s="115" t="e">
        <f ca="1"/>
        <v>#N/A</v>
      </c>
      <c r="AB556" s="151"/>
    </row>
    <row r="557" spans="23:28" x14ac:dyDescent="0.2">
      <c r="W557" s="152"/>
      <c r="X557" s="119" t="str">
        <f t="shared" si="16"/>
        <v>1w</v>
      </c>
      <c r="Y557" s="112" t="e">
        <f>_xll.qlCalendarAdvance(Calendar,Y556,X557,"f",FALSE)</f>
        <v>#VALUE!</v>
      </c>
      <c r="Z557" s="114" t="e">
        <f>_xll.qlCalendarAdvance(Calendar,Y557,0&amp;"D")</f>
        <v>#VALUE!</v>
      </c>
      <c r="AA557" s="115" t="e">
        <f ca="1"/>
        <v>#N/A</v>
      </c>
      <c r="AB557" s="151"/>
    </row>
    <row r="558" spans="23:28" x14ac:dyDescent="0.2">
      <c r="W558" s="152"/>
      <c r="X558" s="119" t="str">
        <f t="shared" si="16"/>
        <v>1w</v>
      </c>
      <c r="Y558" s="112" t="e">
        <f>_xll.qlCalendarAdvance(Calendar,Y557,X558,"f",FALSE)</f>
        <v>#VALUE!</v>
      </c>
      <c r="Z558" s="114" t="e">
        <f>_xll.qlCalendarAdvance(Calendar,Y558,0&amp;"D")</f>
        <v>#VALUE!</v>
      </c>
      <c r="AA558" s="115" t="e">
        <f ca="1"/>
        <v>#N/A</v>
      </c>
      <c r="AB558" s="151"/>
    </row>
    <row r="559" spans="23:28" x14ac:dyDescent="0.2">
      <c r="W559" s="152"/>
      <c r="X559" s="119" t="str">
        <f t="shared" si="16"/>
        <v>1w</v>
      </c>
      <c r="Y559" s="112" t="e">
        <f>_xll.qlCalendarAdvance(Calendar,Y558,X559,"f",FALSE)</f>
        <v>#VALUE!</v>
      </c>
      <c r="Z559" s="114" t="e">
        <f>_xll.qlCalendarAdvance(Calendar,Y559,0&amp;"D")</f>
        <v>#VALUE!</v>
      </c>
      <c r="AA559" s="115" t="e">
        <f ca="1"/>
        <v>#N/A</v>
      </c>
      <c r="AB559" s="151"/>
    </row>
    <row r="560" spans="23:28" x14ac:dyDescent="0.2">
      <c r="W560" s="152"/>
      <c r="X560" s="119" t="str">
        <f t="shared" si="16"/>
        <v>1w</v>
      </c>
      <c r="Y560" s="112" t="e">
        <f>_xll.qlCalendarAdvance(Calendar,Y559,X560,"f",FALSE)</f>
        <v>#VALUE!</v>
      </c>
      <c r="Z560" s="114" t="e">
        <f>_xll.qlCalendarAdvance(Calendar,Y560,0&amp;"D")</f>
        <v>#VALUE!</v>
      </c>
      <c r="AA560" s="115" t="e">
        <f ca="1"/>
        <v>#N/A</v>
      </c>
      <c r="AB560" s="151"/>
    </row>
    <row r="561" spans="23:28" x14ac:dyDescent="0.2">
      <c r="W561" s="152"/>
      <c r="X561" s="119" t="str">
        <f t="shared" si="16"/>
        <v>1w</v>
      </c>
      <c r="Y561" s="112" t="e">
        <f>_xll.qlCalendarAdvance(Calendar,Y560,X561,"f",FALSE)</f>
        <v>#VALUE!</v>
      </c>
      <c r="Z561" s="114" t="e">
        <f>_xll.qlCalendarAdvance(Calendar,Y561,0&amp;"D")</f>
        <v>#VALUE!</v>
      </c>
      <c r="AA561" s="115" t="e">
        <f ca="1"/>
        <v>#N/A</v>
      </c>
      <c r="AB561" s="151"/>
    </row>
    <row r="562" spans="23:28" x14ac:dyDescent="0.2">
      <c r="W562" s="152"/>
      <c r="X562" s="119" t="str">
        <f t="shared" si="16"/>
        <v>1w</v>
      </c>
      <c r="Y562" s="112" t="e">
        <f>_xll.qlCalendarAdvance(Calendar,Y561,X562,"f",FALSE)</f>
        <v>#VALUE!</v>
      </c>
      <c r="Z562" s="114" t="e">
        <f>_xll.qlCalendarAdvance(Calendar,Y562,0&amp;"D")</f>
        <v>#VALUE!</v>
      </c>
      <c r="AA562" s="115" t="e">
        <f ca="1"/>
        <v>#N/A</v>
      </c>
      <c r="AB562" s="151"/>
    </row>
    <row r="563" spans="23:28" x14ac:dyDescent="0.2">
      <c r="W563" s="152"/>
      <c r="X563" s="119" t="str">
        <f t="shared" si="16"/>
        <v>1w</v>
      </c>
      <c r="Y563" s="112" t="e">
        <f>_xll.qlCalendarAdvance(Calendar,Y562,X563,"f",FALSE)</f>
        <v>#VALUE!</v>
      </c>
      <c r="Z563" s="114" t="e">
        <f>_xll.qlCalendarAdvance(Calendar,Y563,0&amp;"D")</f>
        <v>#VALUE!</v>
      </c>
      <c r="AA563" s="115" t="e">
        <f ca="1"/>
        <v>#N/A</v>
      </c>
      <c r="AB563" s="151"/>
    </row>
    <row r="564" spans="23:28" x14ac:dyDescent="0.2">
      <c r="W564" s="152"/>
      <c r="X564" s="119" t="str">
        <f t="shared" si="16"/>
        <v>1w</v>
      </c>
      <c r="Y564" s="112" t="e">
        <f>_xll.qlCalendarAdvance(Calendar,Y563,X564,"f",FALSE)</f>
        <v>#VALUE!</v>
      </c>
      <c r="Z564" s="114" t="e">
        <f>_xll.qlCalendarAdvance(Calendar,Y564,0&amp;"D")</f>
        <v>#VALUE!</v>
      </c>
      <c r="AA564" s="115" t="e">
        <f ca="1"/>
        <v>#N/A</v>
      </c>
      <c r="AB564" s="151"/>
    </row>
    <row r="565" spans="23:28" x14ac:dyDescent="0.2">
      <c r="W565" s="152"/>
      <c r="X565" s="119" t="str">
        <f t="shared" si="16"/>
        <v>1w</v>
      </c>
      <c r="Y565" s="112" t="e">
        <f>_xll.qlCalendarAdvance(Calendar,Y564,X565,"f",FALSE)</f>
        <v>#VALUE!</v>
      </c>
      <c r="Z565" s="114" t="e">
        <f>_xll.qlCalendarAdvance(Calendar,Y565,0&amp;"D")</f>
        <v>#VALUE!</v>
      </c>
      <c r="AA565" s="115" t="e">
        <f ca="1"/>
        <v>#N/A</v>
      </c>
      <c r="AB565" s="151"/>
    </row>
    <row r="566" spans="23:28" x14ac:dyDescent="0.2">
      <c r="W566" s="152"/>
      <c r="X566" s="119" t="str">
        <f t="shared" si="16"/>
        <v>1w</v>
      </c>
      <c r="Y566" s="112" t="e">
        <f>_xll.qlCalendarAdvance(Calendar,Y565,X566,"f",FALSE)</f>
        <v>#VALUE!</v>
      </c>
      <c r="Z566" s="114" t="e">
        <f>_xll.qlCalendarAdvance(Calendar,Y566,0&amp;"D")</f>
        <v>#VALUE!</v>
      </c>
      <c r="AA566" s="115" t="e">
        <f ca="1"/>
        <v>#N/A</v>
      </c>
      <c r="AB566" s="151"/>
    </row>
    <row r="567" spans="23:28" x14ac:dyDescent="0.2">
      <c r="W567" s="152"/>
      <c r="X567" s="119" t="str">
        <f t="shared" si="16"/>
        <v>1w</v>
      </c>
      <c r="Y567" s="112" t="e">
        <f>_xll.qlCalendarAdvance(Calendar,Y566,X567,"f",FALSE)</f>
        <v>#VALUE!</v>
      </c>
      <c r="Z567" s="114" t="e">
        <f>_xll.qlCalendarAdvance(Calendar,Y567,0&amp;"D")</f>
        <v>#VALUE!</v>
      </c>
      <c r="AA567" s="115" t="e">
        <f ca="1"/>
        <v>#N/A</v>
      </c>
      <c r="AB567" s="151"/>
    </row>
    <row r="568" spans="23:28" x14ac:dyDescent="0.2">
      <c r="W568" s="152"/>
      <c r="X568" s="119" t="str">
        <f t="shared" si="16"/>
        <v>1w</v>
      </c>
      <c r="Y568" s="112" t="e">
        <f>_xll.qlCalendarAdvance(Calendar,Y567,X568,"f",FALSE)</f>
        <v>#VALUE!</v>
      </c>
      <c r="Z568" s="114" t="e">
        <f>_xll.qlCalendarAdvance(Calendar,Y568,0&amp;"D")</f>
        <v>#VALUE!</v>
      </c>
      <c r="AA568" s="115" t="e">
        <f ca="1"/>
        <v>#N/A</v>
      </c>
      <c r="AB568" s="151"/>
    </row>
    <row r="569" spans="23:28" x14ac:dyDescent="0.2">
      <c r="W569" s="152"/>
      <c r="X569" s="119" t="str">
        <f t="shared" si="16"/>
        <v>1w</v>
      </c>
      <c r="Y569" s="112" t="e">
        <f>_xll.qlCalendarAdvance(Calendar,Y568,X569,"f",FALSE)</f>
        <v>#VALUE!</v>
      </c>
      <c r="Z569" s="114" t="e">
        <f>_xll.qlCalendarAdvance(Calendar,Y569,0&amp;"D")</f>
        <v>#VALUE!</v>
      </c>
      <c r="AA569" s="115" t="e">
        <f ca="1"/>
        <v>#N/A</v>
      </c>
      <c r="AB569" s="151"/>
    </row>
    <row r="570" spans="23:28" x14ac:dyDescent="0.2">
      <c r="W570" s="152"/>
      <c r="X570" s="119" t="str">
        <f t="shared" si="16"/>
        <v>1w</v>
      </c>
      <c r="Y570" s="112" t="e">
        <f>_xll.qlCalendarAdvance(Calendar,Y569,X570,"f",FALSE)</f>
        <v>#VALUE!</v>
      </c>
      <c r="Z570" s="114" t="e">
        <f>_xll.qlCalendarAdvance(Calendar,Y570,0&amp;"D")</f>
        <v>#VALUE!</v>
      </c>
      <c r="AA570" s="115" t="e">
        <f ca="1"/>
        <v>#N/A</v>
      </c>
      <c r="AB570" s="151"/>
    </row>
    <row r="571" spans="23:28" x14ac:dyDescent="0.2">
      <c r="W571" s="152"/>
      <c r="X571" s="119" t="str">
        <f t="shared" si="16"/>
        <v>1w</v>
      </c>
      <c r="Y571" s="112" t="e">
        <f>_xll.qlCalendarAdvance(Calendar,Y570,X571,"f",FALSE)</f>
        <v>#VALUE!</v>
      </c>
      <c r="Z571" s="114" t="e">
        <f>_xll.qlCalendarAdvance(Calendar,Y571,0&amp;"D")</f>
        <v>#VALUE!</v>
      </c>
      <c r="AA571" s="115" t="e">
        <f ca="1"/>
        <v>#N/A</v>
      </c>
      <c r="AB571" s="151"/>
    </row>
    <row r="572" spans="23:28" x14ac:dyDescent="0.2">
      <c r="W572" s="152"/>
      <c r="X572" s="119" t="str">
        <f t="shared" si="16"/>
        <v>1w</v>
      </c>
      <c r="Y572" s="112" t="e">
        <f>_xll.qlCalendarAdvance(Calendar,Y571,X572,"f",FALSE)</f>
        <v>#VALUE!</v>
      </c>
      <c r="Z572" s="114" t="e">
        <f>_xll.qlCalendarAdvance(Calendar,Y572,0&amp;"D")</f>
        <v>#VALUE!</v>
      </c>
      <c r="AA572" s="115" t="e">
        <f ca="1"/>
        <v>#N/A</v>
      </c>
      <c r="AB572" s="151"/>
    </row>
    <row r="573" spans="23:28" x14ac:dyDescent="0.2">
      <c r="W573" s="152"/>
      <c r="X573" s="119" t="str">
        <f t="shared" si="16"/>
        <v>1w</v>
      </c>
      <c r="Y573" s="112" t="e">
        <f>_xll.qlCalendarAdvance(Calendar,Y572,X573,"f",FALSE)</f>
        <v>#VALUE!</v>
      </c>
      <c r="Z573" s="114" t="e">
        <f>_xll.qlCalendarAdvance(Calendar,Y573,0&amp;"D")</f>
        <v>#VALUE!</v>
      </c>
      <c r="AA573" s="115" t="e">
        <f ca="1"/>
        <v>#N/A</v>
      </c>
      <c r="AB573" s="151"/>
    </row>
    <row r="574" spans="23:28" x14ac:dyDescent="0.2">
      <c r="W574" s="152"/>
      <c r="X574" s="119" t="str">
        <f t="shared" si="16"/>
        <v>1w</v>
      </c>
      <c r="Y574" s="112" t="e">
        <f>_xll.qlCalendarAdvance(Calendar,Y573,X574,"f",FALSE)</f>
        <v>#VALUE!</v>
      </c>
      <c r="Z574" s="114" t="e">
        <f>_xll.qlCalendarAdvance(Calendar,Y574,0&amp;"D")</f>
        <v>#VALUE!</v>
      </c>
      <c r="AA574" s="115" t="e">
        <f ca="1"/>
        <v>#N/A</v>
      </c>
      <c r="AB574" s="151"/>
    </row>
    <row r="575" spans="23:28" x14ac:dyDescent="0.2">
      <c r="W575" s="152"/>
      <c r="X575" s="119" t="str">
        <f t="shared" si="16"/>
        <v>1w</v>
      </c>
      <c r="Y575" s="112" t="e">
        <f>_xll.qlCalendarAdvance(Calendar,Y574,X575,"f",FALSE)</f>
        <v>#VALUE!</v>
      </c>
      <c r="Z575" s="114" t="e">
        <f>_xll.qlCalendarAdvance(Calendar,Y575,0&amp;"D")</f>
        <v>#VALUE!</v>
      </c>
      <c r="AA575" s="115" t="e">
        <f ca="1"/>
        <v>#N/A</v>
      </c>
      <c r="AB575" s="151"/>
    </row>
    <row r="576" spans="23:28" x14ac:dyDescent="0.2">
      <c r="W576" s="152"/>
      <c r="X576" s="119" t="str">
        <f t="shared" si="16"/>
        <v>1w</v>
      </c>
      <c r="Y576" s="112" t="e">
        <f>_xll.qlCalendarAdvance(Calendar,Y575,X576,"f",FALSE)</f>
        <v>#VALUE!</v>
      </c>
      <c r="Z576" s="114" t="e">
        <f>_xll.qlCalendarAdvance(Calendar,Y576,0&amp;"D")</f>
        <v>#VALUE!</v>
      </c>
      <c r="AA576" s="115" t="e">
        <f ca="1"/>
        <v>#N/A</v>
      </c>
      <c r="AB576" s="151"/>
    </row>
    <row r="577" spans="23:28" x14ac:dyDescent="0.2">
      <c r="W577" s="152"/>
      <c r="X577" s="119" t="str">
        <f t="shared" si="16"/>
        <v>1w</v>
      </c>
      <c r="Y577" s="112" t="e">
        <f>_xll.qlCalendarAdvance(Calendar,Y576,X577,"f",FALSE)</f>
        <v>#VALUE!</v>
      </c>
      <c r="Z577" s="114" t="e">
        <f>_xll.qlCalendarAdvance(Calendar,Y577,0&amp;"D")</f>
        <v>#VALUE!</v>
      </c>
      <c r="AA577" s="115" t="e">
        <f ca="1"/>
        <v>#N/A</v>
      </c>
      <c r="AB577" s="151"/>
    </row>
    <row r="578" spans="23:28" x14ac:dyDescent="0.2">
      <c r="W578" s="152"/>
      <c r="X578" s="119" t="str">
        <f t="shared" si="16"/>
        <v>1w</v>
      </c>
      <c r="Y578" s="112" t="e">
        <f>_xll.qlCalendarAdvance(Calendar,Y577,X578,"f",FALSE)</f>
        <v>#VALUE!</v>
      </c>
      <c r="Z578" s="114" t="e">
        <f>_xll.qlCalendarAdvance(Calendar,Y578,0&amp;"D")</f>
        <v>#VALUE!</v>
      </c>
      <c r="AA578" s="115" t="e">
        <f ca="1"/>
        <v>#N/A</v>
      </c>
      <c r="AB578" s="151"/>
    </row>
    <row r="579" spans="23:28" x14ac:dyDescent="0.2">
      <c r="W579" s="152"/>
      <c r="X579" s="119" t="str">
        <f t="shared" si="16"/>
        <v>1w</v>
      </c>
      <c r="Y579" s="112" t="e">
        <f>_xll.qlCalendarAdvance(Calendar,Y578,X579,"f",FALSE)</f>
        <v>#VALUE!</v>
      </c>
      <c r="Z579" s="114" t="e">
        <f>_xll.qlCalendarAdvance(Calendar,Y579,0&amp;"D")</f>
        <v>#VALUE!</v>
      </c>
      <c r="AA579" s="115" t="e">
        <f ca="1"/>
        <v>#N/A</v>
      </c>
      <c r="AB579" s="151"/>
    </row>
    <row r="580" spans="23:28" x14ac:dyDescent="0.2">
      <c r="W580" s="152"/>
      <c r="X580" s="119" t="str">
        <f t="shared" si="16"/>
        <v>1w</v>
      </c>
      <c r="Y580" s="112" t="e">
        <f>_xll.qlCalendarAdvance(Calendar,Y579,X580,"f",FALSE)</f>
        <v>#VALUE!</v>
      </c>
      <c r="Z580" s="114" t="e">
        <f>_xll.qlCalendarAdvance(Calendar,Y580,0&amp;"D")</f>
        <v>#VALUE!</v>
      </c>
      <c r="AA580" s="115" t="e">
        <f ca="1"/>
        <v>#N/A</v>
      </c>
      <c r="AB580" s="151"/>
    </row>
    <row r="581" spans="23:28" x14ac:dyDescent="0.2">
      <c r="W581" s="152"/>
      <c r="X581" s="119" t="str">
        <f t="shared" si="16"/>
        <v>1w</v>
      </c>
      <c r="Y581" s="112" t="e">
        <f>_xll.qlCalendarAdvance(Calendar,Y580,X581,"f",FALSE)</f>
        <v>#VALUE!</v>
      </c>
      <c r="Z581" s="114" t="e">
        <f>_xll.qlCalendarAdvance(Calendar,Y581,0&amp;"D")</f>
        <v>#VALUE!</v>
      </c>
      <c r="AA581" s="115" t="e">
        <f ca="1"/>
        <v>#N/A</v>
      </c>
      <c r="AB581" s="151"/>
    </row>
    <row r="582" spans="23:28" x14ac:dyDescent="0.2">
      <c r="W582" s="152"/>
      <c r="X582" s="119" t="str">
        <f t="shared" si="16"/>
        <v>1w</v>
      </c>
      <c r="Y582" s="112" t="e">
        <f>_xll.qlCalendarAdvance(Calendar,Y581,X582,"f",FALSE)</f>
        <v>#VALUE!</v>
      </c>
      <c r="Z582" s="114" t="e">
        <f>_xll.qlCalendarAdvance(Calendar,Y582,0&amp;"D")</f>
        <v>#VALUE!</v>
      </c>
      <c r="AA582" s="115" t="e">
        <f ca="1"/>
        <v>#N/A</v>
      </c>
      <c r="AB582" s="151"/>
    </row>
    <row r="583" spans="23:28" x14ac:dyDescent="0.2">
      <c r="W583" s="152"/>
      <c r="X583" s="119" t="str">
        <f t="shared" si="16"/>
        <v>1w</v>
      </c>
      <c r="Y583" s="112" t="e">
        <f>_xll.qlCalendarAdvance(Calendar,Y582,X583,"f",FALSE)</f>
        <v>#VALUE!</v>
      </c>
      <c r="Z583" s="114" t="e">
        <f>_xll.qlCalendarAdvance(Calendar,Y583,0&amp;"D")</f>
        <v>#VALUE!</v>
      </c>
      <c r="AA583" s="115" t="e">
        <f ca="1"/>
        <v>#N/A</v>
      </c>
      <c r="AB583" s="151"/>
    </row>
    <row r="584" spans="23:28" x14ac:dyDescent="0.2">
      <c r="W584" s="152"/>
      <c r="X584" s="119" t="str">
        <f t="shared" si="16"/>
        <v>1w</v>
      </c>
      <c r="Y584" s="112" t="e">
        <f>_xll.qlCalendarAdvance(Calendar,Y583,X584,"f",FALSE)</f>
        <v>#VALUE!</v>
      </c>
      <c r="Z584" s="114" t="e">
        <f>_xll.qlCalendarAdvance(Calendar,Y584,0&amp;"D")</f>
        <v>#VALUE!</v>
      </c>
      <c r="AA584" s="115" t="e">
        <f ca="1"/>
        <v>#N/A</v>
      </c>
      <c r="AB584" s="151"/>
    </row>
    <row r="585" spans="23:28" x14ac:dyDescent="0.2">
      <c r="W585" s="152"/>
      <c r="X585" s="119" t="str">
        <f t="shared" si="16"/>
        <v>1w</v>
      </c>
      <c r="Y585" s="112" t="e">
        <f>_xll.qlCalendarAdvance(Calendar,Y584,X585,"f",FALSE)</f>
        <v>#VALUE!</v>
      </c>
      <c r="Z585" s="114" t="e">
        <f>_xll.qlCalendarAdvance(Calendar,Y585,0&amp;"D")</f>
        <v>#VALUE!</v>
      </c>
      <c r="AA585" s="115" t="e">
        <f ca="1"/>
        <v>#N/A</v>
      </c>
      <c r="AB585" s="151"/>
    </row>
    <row r="586" spans="23:28" x14ac:dyDescent="0.2">
      <c r="W586" s="152"/>
      <c r="X586" s="119" t="str">
        <f t="shared" si="16"/>
        <v>1w</v>
      </c>
      <c r="Y586" s="112" t="e">
        <f>_xll.qlCalendarAdvance(Calendar,Y585,X586,"f",FALSE)</f>
        <v>#VALUE!</v>
      </c>
      <c r="Z586" s="114" t="e">
        <f>_xll.qlCalendarAdvance(Calendar,Y586,0&amp;"D")</f>
        <v>#VALUE!</v>
      </c>
      <c r="AA586" s="115" t="e">
        <f ca="1"/>
        <v>#N/A</v>
      </c>
      <c r="AB586" s="151"/>
    </row>
    <row r="587" spans="23:28" x14ac:dyDescent="0.2">
      <c r="W587" s="152"/>
      <c r="X587" s="119" t="str">
        <f t="shared" si="16"/>
        <v>1w</v>
      </c>
      <c r="Y587" s="112" t="e">
        <f>_xll.qlCalendarAdvance(Calendar,Y586,X587,"f",FALSE)</f>
        <v>#VALUE!</v>
      </c>
      <c r="Z587" s="114" t="e">
        <f>_xll.qlCalendarAdvance(Calendar,Y587,0&amp;"D")</f>
        <v>#VALUE!</v>
      </c>
      <c r="AA587" s="115" t="e">
        <f ca="1"/>
        <v>#N/A</v>
      </c>
      <c r="AB587" s="151"/>
    </row>
    <row r="588" spans="23:28" x14ac:dyDescent="0.2">
      <c r="W588" s="152"/>
      <c r="X588" s="119" t="str">
        <f t="shared" si="16"/>
        <v>1w</v>
      </c>
      <c r="Y588" s="112" t="e">
        <f>_xll.qlCalendarAdvance(Calendar,Y587,X588,"f",FALSE)</f>
        <v>#VALUE!</v>
      </c>
      <c r="Z588" s="114" t="e">
        <f>_xll.qlCalendarAdvance(Calendar,Y588,0&amp;"D")</f>
        <v>#VALUE!</v>
      </c>
      <c r="AA588" s="115" t="e">
        <f ca="1"/>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f ca="1"/>
        <v>#N/A</v>
      </c>
      <c r="AB589" s="151"/>
    </row>
    <row r="590" spans="23:28" x14ac:dyDescent="0.2">
      <c r="W590" s="152"/>
      <c r="X590" s="119" t="str">
        <f t="shared" si="17"/>
        <v>1w</v>
      </c>
      <c r="Y590" s="112" t="e">
        <f>_xll.qlCalendarAdvance(Calendar,Y589,X590,"f",FALSE)</f>
        <v>#VALUE!</v>
      </c>
      <c r="Z590" s="114" t="e">
        <f>_xll.qlCalendarAdvance(Calendar,Y590,0&amp;"D")</f>
        <v>#VALUE!</v>
      </c>
      <c r="AA590" s="115" t="e">
        <f ca="1"/>
        <v>#N/A</v>
      </c>
      <c r="AB590" s="151"/>
    </row>
    <row r="591" spans="23:28" x14ac:dyDescent="0.2">
      <c r="W591" s="152"/>
      <c r="X591" s="119" t="str">
        <f t="shared" si="17"/>
        <v>1w</v>
      </c>
      <c r="Y591" s="112" t="e">
        <f>_xll.qlCalendarAdvance(Calendar,Y590,X591,"f",FALSE)</f>
        <v>#VALUE!</v>
      </c>
      <c r="Z591" s="114" t="e">
        <f>_xll.qlCalendarAdvance(Calendar,Y591,0&amp;"D")</f>
        <v>#VALUE!</v>
      </c>
      <c r="AA591" s="115" t="e">
        <f ca="1"/>
        <v>#N/A</v>
      </c>
      <c r="AB591" s="151"/>
    </row>
    <row r="592" spans="23:28" x14ac:dyDescent="0.2">
      <c r="W592" s="152"/>
      <c r="X592" s="119" t="str">
        <f t="shared" si="17"/>
        <v>1w</v>
      </c>
      <c r="Y592" s="112" t="e">
        <f>_xll.qlCalendarAdvance(Calendar,Y591,X592,"f",FALSE)</f>
        <v>#VALUE!</v>
      </c>
      <c r="Z592" s="114" t="e">
        <f>_xll.qlCalendarAdvance(Calendar,Y592,0&amp;"D")</f>
        <v>#VALUE!</v>
      </c>
      <c r="AA592" s="115" t="e">
        <f ca="1"/>
        <v>#N/A</v>
      </c>
      <c r="AB592" s="151"/>
    </row>
    <row r="593" spans="23:28" x14ac:dyDescent="0.2">
      <c r="W593" s="152"/>
      <c r="X593" s="119" t="str">
        <f t="shared" si="17"/>
        <v>1w</v>
      </c>
      <c r="Y593" s="112" t="e">
        <f>_xll.qlCalendarAdvance(Calendar,Y592,X593,"f",FALSE)</f>
        <v>#VALUE!</v>
      </c>
      <c r="Z593" s="114" t="e">
        <f>_xll.qlCalendarAdvance(Calendar,Y593,0&amp;"D")</f>
        <v>#VALUE!</v>
      </c>
      <c r="AA593" s="115" t="e">
        <f ca="1"/>
        <v>#N/A</v>
      </c>
      <c r="AB593" s="151"/>
    </row>
    <row r="594" spans="23:28" x14ac:dyDescent="0.2">
      <c r="W594" s="152"/>
      <c r="X594" s="119" t="str">
        <f t="shared" si="17"/>
        <v>1w</v>
      </c>
      <c r="Y594" s="112" t="e">
        <f>_xll.qlCalendarAdvance(Calendar,Y593,X594,"f",FALSE)</f>
        <v>#VALUE!</v>
      </c>
      <c r="Z594" s="114" t="e">
        <f>_xll.qlCalendarAdvance(Calendar,Y594,0&amp;"D")</f>
        <v>#VALUE!</v>
      </c>
      <c r="AA594" s="115" t="e">
        <f ca="1"/>
        <v>#N/A</v>
      </c>
      <c r="AB594" s="151"/>
    </row>
    <row r="595" spans="23:28" x14ac:dyDescent="0.2">
      <c r="W595" s="152"/>
      <c r="X595" s="119" t="str">
        <f t="shared" si="17"/>
        <v>1w</v>
      </c>
      <c r="Y595" s="112" t="e">
        <f>_xll.qlCalendarAdvance(Calendar,Y594,X595,"f",FALSE)</f>
        <v>#VALUE!</v>
      </c>
      <c r="Z595" s="114" t="e">
        <f>_xll.qlCalendarAdvance(Calendar,Y595,0&amp;"D")</f>
        <v>#VALUE!</v>
      </c>
      <c r="AA595" s="115" t="e">
        <f ca="1"/>
        <v>#N/A</v>
      </c>
      <c r="AB595" s="151"/>
    </row>
    <row r="596" spans="23:28" x14ac:dyDescent="0.2">
      <c r="W596" s="152"/>
      <c r="X596" s="119" t="str">
        <f t="shared" si="17"/>
        <v>1w</v>
      </c>
      <c r="Y596" s="112" t="e">
        <f>_xll.qlCalendarAdvance(Calendar,Y595,X596,"f",FALSE)</f>
        <v>#VALUE!</v>
      </c>
      <c r="Z596" s="114" t="e">
        <f>_xll.qlCalendarAdvance(Calendar,Y596,0&amp;"D")</f>
        <v>#VALUE!</v>
      </c>
      <c r="AA596" s="115" t="e">
        <f ca="1"/>
        <v>#N/A</v>
      </c>
      <c r="AB596" s="151"/>
    </row>
    <row r="597" spans="23:28" x14ac:dyDescent="0.2">
      <c r="W597" s="152"/>
      <c r="X597" s="119" t="str">
        <f t="shared" si="17"/>
        <v>1w</v>
      </c>
      <c r="Y597" s="112" t="e">
        <f>_xll.qlCalendarAdvance(Calendar,Y596,X597,"f",FALSE)</f>
        <v>#VALUE!</v>
      </c>
      <c r="Z597" s="114" t="e">
        <f>_xll.qlCalendarAdvance(Calendar,Y597,0&amp;"D")</f>
        <v>#VALUE!</v>
      </c>
      <c r="AA597" s="115" t="e">
        <f ca="1"/>
        <v>#N/A</v>
      </c>
      <c r="AB597" s="151"/>
    </row>
    <row r="598" spans="23:28" x14ac:dyDescent="0.2">
      <c r="W598" s="152"/>
      <c r="X598" s="119" t="str">
        <f t="shared" si="17"/>
        <v>1w</v>
      </c>
      <c r="Y598" s="112" t="e">
        <f>_xll.qlCalendarAdvance(Calendar,Y597,X598,"f",FALSE)</f>
        <v>#VALUE!</v>
      </c>
      <c r="Z598" s="114" t="e">
        <f>_xll.qlCalendarAdvance(Calendar,Y598,0&amp;"D")</f>
        <v>#VALUE!</v>
      </c>
      <c r="AA598" s="115" t="e">
        <f ca="1"/>
        <v>#N/A</v>
      </c>
      <c r="AB598" s="151"/>
    </row>
    <row r="599" spans="23:28" x14ac:dyDescent="0.2">
      <c r="W599" s="152"/>
      <c r="X599" s="119" t="str">
        <f t="shared" si="17"/>
        <v>1w</v>
      </c>
      <c r="Y599" s="112" t="e">
        <f>_xll.qlCalendarAdvance(Calendar,Y598,X599,"f",FALSE)</f>
        <v>#VALUE!</v>
      </c>
      <c r="Z599" s="114" t="e">
        <f>_xll.qlCalendarAdvance(Calendar,Y599,0&amp;"D")</f>
        <v>#VALUE!</v>
      </c>
      <c r="AA599" s="115" t="e">
        <f ca="1"/>
        <v>#N/A</v>
      </c>
      <c r="AB599" s="151"/>
    </row>
    <row r="600" spans="23:28" x14ac:dyDescent="0.2">
      <c r="W600" s="152"/>
      <c r="X600" s="119" t="str">
        <f t="shared" si="17"/>
        <v>1w</v>
      </c>
      <c r="Y600" s="112" t="e">
        <f>_xll.qlCalendarAdvance(Calendar,Y599,X600,"f",FALSE)</f>
        <v>#VALUE!</v>
      </c>
      <c r="Z600" s="114" t="e">
        <f>_xll.qlCalendarAdvance(Calendar,Y600,0&amp;"D")</f>
        <v>#VALUE!</v>
      </c>
      <c r="AA600" s="115" t="e">
        <f ca="1"/>
        <v>#N/A</v>
      </c>
      <c r="AB600" s="151"/>
    </row>
    <row r="601" spans="23:28" x14ac:dyDescent="0.2">
      <c r="W601" s="152"/>
      <c r="X601" s="119" t="str">
        <f t="shared" si="17"/>
        <v>1w</v>
      </c>
      <c r="Y601" s="112" t="e">
        <f>_xll.qlCalendarAdvance(Calendar,Y600,X601,"f",FALSE)</f>
        <v>#VALUE!</v>
      </c>
      <c r="Z601" s="114" t="e">
        <f>_xll.qlCalendarAdvance(Calendar,Y601,0&amp;"D")</f>
        <v>#VALUE!</v>
      </c>
      <c r="AA601" s="115" t="e">
        <f ca="1"/>
        <v>#N/A</v>
      </c>
      <c r="AB601" s="151"/>
    </row>
    <row r="602" spans="23:28" x14ac:dyDescent="0.2">
      <c r="W602" s="152"/>
      <c r="X602" s="119" t="str">
        <f t="shared" si="17"/>
        <v>1w</v>
      </c>
      <c r="Y602" s="112" t="e">
        <f>_xll.qlCalendarAdvance(Calendar,Y601,X602,"f",FALSE)</f>
        <v>#VALUE!</v>
      </c>
      <c r="Z602" s="114" t="e">
        <f>_xll.qlCalendarAdvance(Calendar,Y602,0&amp;"D")</f>
        <v>#VALUE!</v>
      </c>
      <c r="AA602" s="115" t="e">
        <f ca="1"/>
        <v>#N/A</v>
      </c>
      <c r="AB602" s="151"/>
    </row>
    <row r="603" spans="23:28" x14ac:dyDescent="0.2">
      <c r="W603" s="152"/>
      <c r="X603" s="119" t="str">
        <f t="shared" si="17"/>
        <v>1w</v>
      </c>
      <c r="Y603" s="112" t="e">
        <f>_xll.qlCalendarAdvance(Calendar,Y602,X603,"f",FALSE)</f>
        <v>#VALUE!</v>
      </c>
      <c r="Z603" s="114" t="e">
        <f>_xll.qlCalendarAdvance(Calendar,Y603,0&amp;"D")</f>
        <v>#VALUE!</v>
      </c>
      <c r="AA603" s="115" t="e">
        <f ca="1"/>
        <v>#N/A</v>
      </c>
      <c r="AB603" s="151"/>
    </row>
    <row r="604" spans="23:28" x14ac:dyDescent="0.2">
      <c r="W604" s="152"/>
      <c r="X604" s="119" t="str">
        <f t="shared" si="17"/>
        <v>1w</v>
      </c>
      <c r="Y604" s="112" t="e">
        <f>_xll.qlCalendarAdvance(Calendar,Y603,X604,"f",FALSE)</f>
        <v>#VALUE!</v>
      </c>
      <c r="Z604" s="114" t="e">
        <f>_xll.qlCalendarAdvance(Calendar,Y604,0&amp;"D")</f>
        <v>#VALUE!</v>
      </c>
      <c r="AA604" s="115" t="e">
        <f ca="1"/>
        <v>#N/A</v>
      </c>
      <c r="AB604" s="151"/>
    </row>
    <row r="605" spans="23:28" x14ac:dyDescent="0.2">
      <c r="W605" s="152"/>
      <c r="X605" s="119" t="str">
        <f t="shared" si="17"/>
        <v>1w</v>
      </c>
      <c r="Y605" s="112" t="e">
        <f>_xll.qlCalendarAdvance(Calendar,Y604,X605,"f",FALSE)</f>
        <v>#VALUE!</v>
      </c>
      <c r="Z605" s="114" t="e">
        <f>_xll.qlCalendarAdvance(Calendar,Y605,0&amp;"D")</f>
        <v>#VALUE!</v>
      </c>
      <c r="AA605" s="115" t="e">
        <f ca="1"/>
        <v>#N/A</v>
      </c>
      <c r="AB605" s="151"/>
    </row>
    <row r="606" spans="23:28" x14ac:dyDescent="0.2">
      <c r="W606" s="152"/>
      <c r="X606" s="119" t="str">
        <f t="shared" si="17"/>
        <v>1w</v>
      </c>
      <c r="Y606" s="112" t="e">
        <f>_xll.qlCalendarAdvance(Calendar,Y605,X606,"f",FALSE)</f>
        <v>#VALUE!</v>
      </c>
      <c r="Z606" s="114" t="e">
        <f>_xll.qlCalendarAdvance(Calendar,Y606,0&amp;"D")</f>
        <v>#VALUE!</v>
      </c>
      <c r="AA606" s="115" t="e">
        <f ca="1"/>
        <v>#N/A</v>
      </c>
      <c r="AB606" s="151"/>
    </row>
    <row r="607" spans="23:28" x14ac:dyDescent="0.2">
      <c r="W607" s="152"/>
      <c r="X607" s="119" t="str">
        <f t="shared" si="17"/>
        <v>1w</v>
      </c>
      <c r="Y607" s="112" t="e">
        <f>_xll.qlCalendarAdvance(Calendar,Y606,X607,"f",FALSE)</f>
        <v>#VALUE!</v>
      </c>
      <c r="Z607" s="114" t="e">
        <f>_xll.qlCalendarAdvance(Calendar,Y607,0&amp;"D")</f>
        <v>#VALUE!</v>
      </c>
      <c r="AA607" s="115" t="e">
        <f ca="1"/>
        <v>#N/A</v>
      </c>
      <c r="AB607" s="151"/>
    </row>
    <row r="608" spans="23:28" x14ac:dyDescent="0.2">
      <c r="W608" s="152"/>
      <c r="X608" s="119" t="str">
        <f t="shared" si="17"/>
        <v>1w</v>
      </c>
      <c r="Y608" s="112" t="e">
        <f>_xll.qlCalendarAdvance(Calendar,Y607,X608,"f",FALSE)</f>
        <v>#VALUE!</v>
      </c>
      <c r="Z608" s="114" t="e">
        <f>_xll.qlCalendarAdvance(Calendar,Y608,0&amp;"D")</f>
        <v>#VALUE!</v>
      </c>
      <c r="AA608" s="115" t="e">
        <f ca="1"/>
        <v>#N/A</v>
      </c>
      <c r="AB608" s="151"/>
    </row>
    <row r="609" spans="23:28" x14ac:dyDescent="0.2">
      <c r="W609" s="152"/>
      <c r="X609" s="119" t="str">
        <f t="shared" si="17"/>
        <v>1w</v>
      </c>
      <c r="Y609" s="112" t="e">
        <f>_xll.qlCalendarAdvance(Calendar,Y608,X609,"f",FALSE)</f>
        <v>#VALUE!</v>
      </c>
      <c r="Z609" s="114" t="e">
        <f>_xll.qlCalendarAdvance(Calendar,Y609,0&amp;"D")</f>
        <v>#VALUE!</v>
      </c>
      <c r="AA609" s="115" t="e">
        <f ca="1"/>
        <v>#N/A</v>
      </c>
      <c r="AB609" s="151"/>
    </row>
    <row r="610" spans="23:28" x14ac:dyDescent="0.2">
      <c r="W610" s="152"/>
      <c r="X610" s="119" t="str">
        <f t="shared" si="17"/>
        <v>1w</v>
      </c>
      <c r="Y610" s="112" t="e">
        <f>_xll.qlCalendarAdvance(Calendar,Y609,X610,"f",FALSE)</f>
        <v>#VALUE!</v>
      </c>
      <c r="Z610" s="114" t="e">
        <f>_xll.qlCalendarAdvance(Calendar,Y610,0&amp;"D")</f>
        <v>#VALUE!</v>
      </c>
      <c r="AA610" s="115" t="e">
        <f ca="1"/>
        <v>#N/A</v>
      </c>
      <c r="AB610" s="151"/>
    </row>
    <row r="611" spans="23:28" x14ac:dyDescent="0.2">
      <c r="W611" s="152"/>
      <c r="X611" s="119" t="str">
        <f t="shared" si="17"/>
        <v>1w</v>
      </c>
      <c r="Y611" s="112" t="e">
        <f>_xll.qlCalendarAdvance(Calendar,Y610,X611,"f",FALSE)</f>
        <v>#VALUE!</v>
      </c>
      <c r="Z611" s="114" t="e">
        <f>_xll.qlCalendarAdvance(Calendar,Y611,0&amp;"D")</f>
        <v>#VALUE!</v>
      </c>
      <c r="AA611" s="115" t="e">
        <f ca="1"/>
        <v>#N/A</v>
      </c>
      <c r="AB611" s="151"/>
    </row>
    <row r="612" spans="23:28" x14ac:dyDescent="0.2">
      <c r="W612" s="152"/>
      <c r="X612" s="119" t="str">
        <f t="shared" si="17"/>
        <v>1w</v>
      </c>
      <c r="Y612" s="112" t="e">
        <f>_xll.qlCalendarAdvance(Calendar,Y611,X612,"f",FALSE)</f>
        <v>#VALUE!</v>
      </c>
      <c r="Z612" s="114" t="e">
        <f>_xll.qlCalendarAdvance(Calendar,Y612,0&amp;"D")</f>
        <v>#VALUE!</v>
      </c>
      <c r="AA612" s="115" t="e">
        <f ca="1"/>
        <v>#N/A</v>
      </c>
      <c r="AB612" s="151"/>
    </row>
    <row r="613" spans="23:28" x14ac:dyDescent="0.2">
      <c r="W613" s="152"/>
      <c r="X613" s="119" t="str">
        <f t="shared" si="17"/>
        <v>1w</v>
      </c>
      <c r="Y613" s="112" t="e">
        <f>_xll.qlCalendarAdvance(Calendar,Y612,X613,"f",FALSE)</f>
        <v>#VALUE!</v>
      </c>
      <c r="Z613" s="114" t="e">
        <f>_xll.qlCalendarAdvance(Calendar,Y613,0&amp;"D")</f>
        <v>#VALUE!</v>
      </c>
      <c r="AA613" s="115" t="e">
        <f ca="1"/>
        <v>#N/A</v>
      </c>
      <c r="AB613" s="151"/>
    </row>
    <row r="614" spans="23:28" x14ac:dyDescent="0.2">
      <c r="W614" s="152"/>
      <c r="X614" s="119" t="str">
        <f t="shared" si="17"/>
        <v>1w</v>
      </c>
      <c r="Y614" s="112" t="e">
        <f>_xll.qlCalendarAdvance(Calendar,Y613,X614,"f",FALSE)</f>
        <v>#VALUE!</v>
      </c>
      <c r="Z614" s="114" t="e">
        <f>_xll.qlCalendarAdvance(Calendar,Y614,0&amp;"D")</f>
        <v>#VALUE!</v>
      </c>
      <c r="AA614" s="115" t="e">
        <f ca="1"/>
        <v>#N/A</v>
      </c>
      <c r="AB614" s="151"/>
    </row>
    <row r="615" spans="23:28" x14ac:dyDescent="0.2">
      <c r="W615" s="152"/>
      <c r="X615" s="119" t="str">
        <f t="shared" si="17"/>
        <v>1w</v>
      </c>
      <c r="Y615" s="112" t="e">
        <f>_xll.qlCalendarAdvance(Calendar,Y614,X615,"f",FALSE)</f>
        <v>#VALUE!</v>
      </c>
      <c r="Z615" s="114" t="e">
        <f>_xll.qlCalendarAdvance(Calendar,Y615,0&amp;"D")</f>
        <v>#VALUE!</v>
      </c>
      <c r="AA615" s="115" t="e">
        <f ca="1"/>
        <v>#N/A</v>
      </c>
      <c r="AB615" s="151"/>
    </row>
    <row r="616" spans="23:28" x14ac:dyDescent="0.2">
      <c r="W616" s="152"/>
      <c r="X616" s="119" t="str">
        <f t="shared" si="17"/>
        <v>1w</v>
      </c>
      <c r="Y616" s="112" t="e">
        <f>_xll.qlCalendarAdvance(Calendar,Y615,X616,"f",FALSE)</f>
        <v>#VALUE!</v>
      </c>
      <c r="Z616" s="114" t="e">
        <f>_xll.qlCalendarAdvance(Calendar,Y616,0&amp;"D")</f>
        <v>#VALUE!</v>
      </c>
      <c r="AA616" s="115" t="e">
        <f ca="1"/>
        <v>#N/A</v>
      </c>
      <c r="AB616" s="151"/>
    </row>
    <row r="617" spans="23:28" x14ac:dyDescent="0.2">
      <c r="W617" s="152"/>
      <c r="X617" s="119" t="str">
        <f t="shared" si="17"/>
        <v>1w</v>
      </c>
      <c r="Y617" s="112" t="e">
        <f>_xll.qlCalendarAdvance(Calendar,Y616,X617,"f",FALSE)</f>
        <v>#VALUE!</v>
      </c>
      <c r="Z617" s="114" t="e">
        <f>_xll.qlCalendarAdvance(Calendar,Y617,0&amp;"D")</f>
        <v>#VALUE!</v>
      </c>
      <c r="AA617" s="115" t="e">
        <f ca="1"/>
        <v>#N/A</v>
      </c>
      <c r="AB617" s="151"/>
    </row>
    <row r="618" spans="23:28" x14ac:dyDescent="0.2">
      <c r="W618" s="152"/>
      <c r="X618" s="119" t="str">
        <f t="shared" si="17"/>
        <v>1w</v>
      </c>
      <c r="Y618" s="112" t="e">
        <f>_xll.qlCalendarAdvance(Calendar,Y617,X618,"f",FALSE)</f>
        <v>#VALUE!</v>
      </c>
      <c r="Z618" s="114" t="e">
        <f>_xll.qlCalendarAdvance(Calendar,Y618,0&amp;"D")</f>
        <v>#VALUE!</v>
      </c>
      <c r="AA618" s="115" t="e">
        <f ca="1"/>
        <v>#N/A</v>
      </c>
      <c r="AB618" s="151"/>
    </row>
    <row r="619" spans="23:28" x14ac:dyDescent="0.2">
      <c r="W619" s="152"/>
      <c r="X619" s="119" t="str">
        <f t="shared" si="17"/>
        <v>1w</v>
      </c>
      <c r="Y619" s="112" t="e">
        <f>_xll.qlCalendarAdvance(Calendar,Y618,X619,"f",FALSE)</f>
        <v>#VALUE!</v>
      </c>
      <c r="Z619" s="114" t="e">
        <f>_xll.qlCalendarAdvance(Calendar,Y619,0&amp;"D")</f>
        <v>#VALUE!</v>
      </c>
      <c r="AA619" s="115" t="e">
        <f ca="1"/>
        <v>#N/A</v>
      </c>
      <c r="AB619" s="151"/>
    </row>
    <row r="620" spans="23:28" x14ac:dyDescent="0.2">
      <c r="W620" s="152"/>
      <c r="X620" s="119" t="str">
        <f t="shared" si="17"/>
        <v>1w</v>
      </c>
      <c r="Y620" s="112" t="e">
        <f>_xll.qlCalendarAdvance(Calendar,Y619,X620,"f",FALSE)</f>
        <v>#VALUE!</v>
      </c>
      <c r="Z620" s="114" t="e">
        <f>_xll.qlCalendarAdvance(Calendar,Y620,0&amp;"D")</f>
        <v>#VALUE!</v>
      </c>
      <c r="AA620" s="115" t="e">
        <f ca="1"/>
        <v>#N/A</v>
      </c>
      <c r="AB620" s="151"/>
    </row>
    <row r="621" spans="23:28" x14ac:dyDescent="0.2">
      <c r="W621" s="152"/>
      <c r="X621" s="119" t="str">
        <f t="shared" si="17"/>
        <v>1w</v>
      </c>
      <c r="Y621" s="112" t="e">
        <f>_xll.qlCalendarAdvance(Calendar,Y620,X621,"f",FALSE)</f>
        <v>#VALUE!</v>
      </c>
      <c r="Z621" s="114" t="e">
        <f>_xll.qlCalendarAdvance(Calendar,Y621,0&amp;"D")</f>
        <v>#VALUE!</v>
      </c>
      <c r="AA621" s="115" t="e">
        <f ca="1"/>
        <v>#N/A</v>
      </c>
      <c r="AB621" s="151"/>
    </row>
    <row r="622" spans="23:28" x14ac:dyDescent="0.2">
      <c r="W622" s="152"/>
      <c r="X622" s="119" t="str">
        <f t="shared" si="17"/>
        <v>1w</v>
      </c>
      <c r="Y622" s="112" t="e">
        <f>_xll.qlCalendarAdvance(Calendar,Y621,X622,"f",FALSE)</f>
        <v>#VALUE!</v>
      </c>
      <c r="Z622" s="114" t="e">
        <f>_xll.qlCalendarAdvance(Calendar,Y622,0&amp;"D")</f>
        <v>#VALUE!</v>
      </c>
      <c r="AA622" s="115" t="e">
        <f ca="1"/>
        <v>#N/A</v>
      </c>
      <c r="AB622" s="151"/>
    </row>
    <row r="623" spans="23:28" x14ac:dyDescent="0.2">
      <c r="W623" s="152"/>
      <c r="X623" s="119" t="str">
        <f t="shared" si="17"/>
        <v>1w</v>
      </c>
      <c r="Y623" s="112" t="e">
        <f>_xll.qlCalendarAdvance(Calendar,Y622,X623,"f",FALSE)</f>
        <v>#VALUE!</v>
      </c>
      <c r="Z623" s="114" t="e">
        <f>_xll.qlCalendarAdvance(Calendar,Y623,0&amp;"D")</f>
        <v>#VALUE!</v>
      </c>
      <c r="AA623" s="115" t="e">
        <f ca="1"/>
        <v>#N/A</v>
      </c>
      <c r="AB623" s="151"/>
    </row>
    <row r="624" spans="23:28" x14ac:dyDescent="0.2">
      <c r="W624" s="152"/>
      <c r="X624" s="119" t="str">
        <f t="shared" si="17"/>
        <v>1w</v>
      </c>
      <c r="Y624" s="112" t="e">
        <f>_xll.qlCalendarAdvance(Calendar,Y623,X624,"f",FALSE)</f>
        <v>#VALUE!</v>
      </c>
      <c r="Z624" s="114" t="e">
        <f>_xll.qlCalendarAdvance(Calendar,Y624,0&amp;"D")</f>
        <v>#VALUE!</v>
      </c>
      <c r="AA624" s="115" t="e">
        <f ca="1"/>
        <v>#N/A</v>
      </c>
      <c r="AB624" s="151"/>
    </row>
    <row r="625" spans="23:28" x14ac:dyDescent="0.2">
      <c r="W625" s="152"/>
      <c r="X625" s="119" t="str">
        <f t="shared" si="17"/>
        <v>1w</v>
      </c>
      <c r="Y625" s="112" t="e">
        <f>_xll.qlCalendarAdvance(Calendar,Y624,X625,"f",FALSE)</f>
        <v>#VALUE!</v>
      </c>
      <c r="Z625" s="114" t="e">
        <f>_xll.qlCalendarAdvance(Calendar,Y625,0&amp;"D")</f>
        <v>#VALUE!</v>
      </c>
      <c r="AA625" s="115" t="e">
        <f ca="1"/>
        <v>#N/A</v>
      </c>
      <c r="AB625" s="151"/>
    </row>
    <row r="626" spans="23:28" x14ac:dyDescent="0.2">
      <c r="W626" s="152"/>
      <c r="X626" s="119" t="str">
        <f t="shared" si="17"/>
        <v>1w</v>
      </c>
      <c r="Y626" s="112" t="e">
        <f>_xll.qlCalendarAdvance(Calendar,Y625,X626,"f",FALSE)</f>
        <v>#VALUE!</v>
      </c>
      <c r="Z626" s="114" t="e">
        <f>_xll.qlCalendarAdvance(Calendar,Y626,0&amp;"D")</f>
        <v>#VALUE!</v>
      </c>
      <c r="AA626" s="115" t="e">
        <f ca="1"/>
        <v>#N/A</v>
      </c>
      <c r="AB626" s="151"/>
    </row>
    <row r="627" spans="23:28" x14ac:dyDescent="0.2">
      <c r="W627" s="152"/>
      <c r="X627" s="119" t="str">
        <f t="shared" si="17"/>
        <v>1w</v>
      </c>
      <c r="Y627" s="112" t="e">
        <f>_xll.qlCalendarAdvance(Calendar,Y626,X627,"f",FALSE)</f>
        <v>#VALUE!</v>
      </c>
      <c r="Z627" s="114" t="e">
        <f>_xll.qlCalendarAdvance(Calendar,Y627,0&amp;"D")</f>
        <v>#VALUE!</v>
      </c>
      <c r="AA627" s="115" t="e">
        <f ca="1"/>
        <v>#N/A</v>
      </c>
      <c r="AB627" s="151"/>
    </row>
    <row r="628" spans="23:28" x14ac:dyDescent="0.2">
      <c r="W628" s="152"/>
      <c r="X628" s="119" t="str">
        <f t="shared" si="17"/>
        <v>1w</v>
      </c>
      <c r="Y628" s="112" t="e">
        <f>_xll.qlCalendarAdvance(Calendar,Y627,X628,"f",FALSE)</f>
        <v>#VALUE!</v>
      </c>
      <c r="Z628" s="114" t="e">
        <f>_xll.qlCalendarAdvance(Calendar,Y628,0&amp;"D")</f>
        <v>#VALUE!</v>
      </c>
      <c r="AA628" s="115" t="e">
        <f ca="1"/>
        <v>#N/A</v>
      </c>
      <c r="AB628" s="151"/>
    </row>
    <row r="629" spans="23:28" x14ac:dyDescent="0.2">
      <c r="W629" s="152"/>
      <c r="X629" s="119" t="str">
        <f t="shared" si="17"/>
        <v>1w</v>
      </c>
      <c r="Y629" s="112" t="e">
        <f>_xll.qlCalendarAdvance(Calendar,Y628,X629,"f",FALSE)</f>
        <v>#VALUE!</v>
      </c>
      <c r="Z629" s="114" t="e">
        <f>_xll.qlCalendarAdvance(Calendar,Y629,0&amp;"D")</f>
        <v>#VALUE!</v>
      </c>
      <c r="AA629" s="115" t="e">
        <f ca="1"/>
        <v>#N/A</v>
      </c>
      <c r="AB629" s="151"/>
    </row>
    <row r="630" spans="23:28" x14ac:dyDescent="0.2">
      <c r="W630" s="152"/>
      <c r="X630" s="119" t="str">
        <f t="shared" si="17"/>
        <v>1w</v>
      </c>
      <c r="Y630" s="112" t="e">
        <f>_xll.qlCalendarAdvance(Calendar,Y629,X630,"f",FALSE)</f>
        <v>#VALUE!</v>
      </c>
      <c r="Z630" s="114" t="e">
        <f>_xll.qlCalendarAdvance(Calendar,Y630,0&amp;"D")</f>
        <v>#VALUE!</v>
      </c>
      <c r="AA630" s="115" t="e">
        <f ca="1"/>
        <v>#N/A</v>
      </c>
      <c r="AB630" s="151"/>
    </row>
    <row r="631" spans="23:28" x14ac:dyDescent="0.2">
      <c r="W631" s="152"/>
      <c r="X631" s="119" t="str">
        <f t="shared" si="17"/>
        <v>1w</v>
      </c>
      <c r="Y631" s="112" t="e">
        <f>_xll.qlCalendarAdvance(Calendar,Y630,X631,"f",FALSE)</f>
        <v>#VALUE!</v>
      </c>
      <c r="Z631" s="114" t="e">
        <f>_xll.qlCalendarAdvance(Calendar,Y631,0&amp;"D")</f>
        <v>#VALUE!</v>
      </c>
      <c r="AA631" s="115" t="e">
        <f ca="1"/>
        <v>#N/A</v>
      </c>
      <c r="AB631" s="151"/>
    </row>
    <row r="632" spans="23:28" x14ac:dyDescent="0.2">
      <c r="W632" s="152"/>
      <c r="X632" s="119" t="str">
        <f t="shared" si="17"/>
        <v>1w</v>
      </c>
      <c r="Y632" s="112" t="e">
        <f>_xll.qlCalendarAdvance(Calendar,Y631,X632,"f",FALSE)</f>
        <v>#VALUE!</v>
      </c>
      <c r="Z632" s="114" t="e">
        <f>_xll.qlCalendarAdvance(Calendar,Y632,0&amp;"D")</f>
        <v>#VALUE!</v>
      </c>
      <c r="AA632" s="115" t="e">
        <f ca="1"/>
        <v>#N/A</v>
      </c>
      <c r="AB632" s="151"/>
    </row>
    <row r="633" spans="23:28" x14ac:dyDescent="0.2">
      <c r="W633" s="152"/>
      <c r="X633" s="119" t="str">
        <f t="shared" si="17"/>
        <v>1w</v>
      </c>
      <c r="Y633" s="112" t="e">
        <f>_xll.qlCalendarAdvance(Calendar,Y632,X633,"f",FALSE)</f>
        <v>#VALUE!</v>
      </c>
      <c r="Z633" s="114" t="e">
        <f>_xll.qlCalendarAdvance(Calendar,Y633,0&amp;"D")</f>
        <v>#VALUE!</v>
      </c>
      <c r="AA633" s="115" t="e">
        <f ca="1"/>
        <v>#N/A</v>
      </c>
      <c r="AB633" s="151"/>
    </row>
    <row r="634" spans="23:28" x14ac:dyDescent="0.2">
      <c r="W634" s="152"/>
      <c r="X634" s="119" t="str">
        <f t="shared" si="17"/>
        <v>1w</v>
      </c>
      <c r="Y634" s="112" t="e">
        <f>_xll.qlCalendarAdvance(Calendar,Y633,X634,"f",FALSE)</f>
        <v>#VALUE!</v>
      </c>
      <c r="Z634" s="114" t="e">
        <f>_xll.qlCalendarAdvance(Calendar,Y634,0&amp;"D")</f>
        <v>#VALUE!</v>
      </c>
      <c r="AA634" s="115" t="e">
        <f ca="1"/>
        <v>#N/A</v>
      </c>
      <c r="AB634" s="151"/>
    </row>
    <row r="635" spans="23:28" x14ac:dyDescent="0.2">
      <c r="W635" s="152"/>
      <c r="X635" s="119" t="str">
        <f t="shared" si="17"/>
        <v>1w</v>
      </c>
      <c r="Y635" s="112" t="e">
        <f>_xll.qlCalendarAdvance(Calendar,Y634,X635,"f",FALSE)</f>
        <v>#VALUE!</v>
      </c>
      <c r="Z635" s="114" t="e">
        <f>_xll.qlCalendarAdvance(Calendar,Y635,0&amp;"D")</f>
        <v>#VALUE!</v>
      </c>
      <c r="AA635" s="115" t="e">
        <f ca="1"/>
        <v>#N/A</v>
      </c>
      <c r="AB635" s="151"/>
    </row>
    <row r="636" spans="23:28" x14ac:dyDescent="0.2">
      <c r="W636" s="152"/>
      <c r="X636" s="119" t="str">
        <f t="shared" si="17"/>
        <v>1w</v>
      </c>
      <c r="Y636" s="112" t="e">
        <f>_xll.qlCalendarAdvance(Calendar,Y635,X636,"f",FALSE)</f>
        <v>#VALUE!</v>
      </c>
      <c r="Z636" s="114" t="e">
        <f>_xll.qlCalendarAdvance(Calendar,Y636,0&amp;"D")</f>
        <v>#VALUE!</v>
      </c>
      <c r="AA636" s="115" t="e">
        <f ca="1"/>
        <v>#N/A</v>
      </c>
      <c r="AB636" s="151"/>
    </row>
    <row r="637" spans="23:28" x14ac:dyDescent="0.2">
      <c r="W637" s="152"/>
      <c r="X637" s="119" t="str">
        <f t="shared" si="17"/>
        <v>1w</v>
      </c>
      <c r="Y637" s="112" t="e">
        <f>_xll.qlCalendarAdvance(Calendar,Y636,X637,"f",FALSE)</f>
        <v>#VALUE!</v>
      </c>
      <c r="Z637" s="114" t="e">
        <f>_xll.qlCalendarAdvance(Calendar,Y637,0&amp;"D")</f>
        <v>#VALUE!</v>
      </c>
      <c r="AA637" s="115" t="e">
        <f ca="1"/>
        <v>#N/A</v>
      </c>
      <c r="AB637" s="151"/>
    </row>
    <row r="638" spans="23:28" x14ac:dyDescent="0.2">
      <c r="W638" s="152"/>
      <c r="X638" s="119" t="str">
        <f t="shared" si="17"/>
        <v>1w</v>
      </c>
      <c r="Y638" s="112" t="e">
        <f>_xll.qlCalendarAdvance(Calendar,Y637,X638,"f",FALSE)</f>
        <v>#VALUE!</v>
      </c>
      <c r="Z638" s="114" t="e">
        <f>_xll.qlCalendarAdvance(Calendar,Y638,0&amp;"D")</f>
        <v>#VALUE!</v>
      </c>
      <c r="AA638" s="115" t="e">
        <f ca="1"/>
        <v>#N/A</v>
      </c>
      <c r="AB638" s="151"/>
    </row>
    <row r="639" spans="23:28" x14ac:dyDescent="0.2">
      <c r="W639" s="152"/>
      <c r="X639" s="119" t="str">
        <f t="shared" si="17"/>
        <v>1w</v>
      </c>
      <c r="Y639" s="112" t="e">
        <f>_xll.qlCalendarAdvance(Calendar,Y638,X639,"f",FALSE)</f>
        <v>#VALUE!</v>
      </c>
      <c r="Z639" s="114" t="e">
        <f>_xll.qlCalendarAdvance(Calendar,Y639,0&amp;"D")</f>
        <v>#VALUE!</v>
      </c>
      <c r="AA639" s="115" t="e">
        <f ca="1"/>
        <v>#N/A</v>
      </c>
      <c r="AB639" s="151"/>
    </row>
    <row r="640" spans="23:28" x14ac:dyDescent="0.2">
      <c r="W640" s="152"/>
      <c r="X640" s="119" t="str">
        <f t="shared" si="17"/>
        <v>1w</v>
      </c>
      <c r="Y640" s="112" t="e">
        <f>_xll.qlCalendarAdvance(Calendar,Y639,X640,"f",FALSE)</f>
        <v>#VALUE!</v>
      </c>
      <c r="Z640" s="114" t="e">
        <f>_xll.qlCalendarAdvance(Calendar,Y640,0&amp;"D")</f>
        <v>#VALUE!</v>
      </c>
      <c r="AA640" s="115" t="e">
        <f ca="1"/>
        <v>#N/A</v>
      </c>
      <c r="AB640" s="151"/>
    </row>
    <row r="641" spans="23:28" x14ac:dyDescent="0.2">
      <c r="W641" s="152"/>
      <c r="X641" s="119" t="str">
        <f t="shared" si="17"/>
        <v>1w</v>
      </c>
      <c r="Y641" s="112" t="e">
        <f>_xll.qlCalendarAdvance(Calendar,Y640,X641,"f",FALSE)</f>
        <v>#VALUE!</v>
      </c>
      <c r="Z641" s="114" t="e">
        <f>_xll.qlCalendarAdvance(Calendar,Y641,0&amp;"D")</f>
        <v>#VALUE!</v>
      </c>
      <c r="AA641" s="115" t="e">
        <f ca="1"/>
        <v>#N/A</v>
      </c>
      <c r="AB641" s="151"/>
    </row>
    <row r="642" spans="23:28" x14ac:dyDescent="0.2">
      <c r="W642" s="152"/>
      <c r="X642" s="119" t="str">
        <f t="shared" si="17"/>
        <v>1w</v>
      </c>
      <c r="Y642" s="112" t="e">
        <f>_xll.qlCalendarAdvance(Calendar,Y641,X642,"f",FALSE)</f>
        <v>#VALUE!</v>
      </c>
      <c r="Z642" s="114" t="e">
        <f>_xll.qlCalendarAdvance(Calendar,Y642,0&amp;"D")</f>
        <v>#VALUE!</v>
      </c>
      <c r="AA642" s="115" t="e">
        <f ca="1"/>
        <v>#N/A</v>
      </c>
      <c r="AB642" s="151"/>
    </row>
    <row r="643" spans="23:28" x14ac:dyDescent="0.2">
      <c r="W643" s="152"/>
      <c r="X643" s="119" t="str">
        <f t="shared" si="17"/>
        <v>1w</v>
      </c>
      <c r="Y643" s="112" t="e">
        <f>_xll.qlCalendarAdvance(Calendar,Y642,X643,"f",FALSE)</f>
        <v>#VALUE!</v>
      </c>
      <c r="Z643" s="114" t="e">
        <f>_xll.qlCalendarAdvance(Calendar,Y643,0&amp;"D")</f>
        <v>#VALUE!</v>
      </c>
      <c r="AA643" s="115" t="e">
        <f ca="1"/>
        <v>#N/A</v>
      </c>
      <c r="AB643" s="151"/>
    </row>
    <row r="644" spans="23:28" x14ac:dyDescent="0.2">
      <c r="W644" s="152"/>
      <c r="X644" s="119" t="str">
        <f t="shared" si="17"/>
        <v>1w</v>
      </c>
      <c r="Y644" s="112" t="e">
        <f>_xll.qlCalendarAdvance(Calendar,Y643,X644,"f",FALSE)</f>
        <v>#VALUE!</v>
      </c>
      <c r="Z644" s="114" t="e">
        <f>_xll.qlCalendarAdvance(Calendar,Y644,0&amp;"D")</f>
        <v>#VALUE!</v>
      </c>
      <c r="AA644" s="115" t="e">
        <f ca="1"/>
        <v>#N/A</v>
      </c>
      <c r="AB644" s="151"/>
    </row>
    <row r="645" spans="23:28" x14ac:dyDescent="0.2">
      <c r="W645" s="152"/>
      <c r="X645" s="119" t="str">
        <f t="shared" si="17"/>
        <v>1w</v>
      </c>
      <c r="Y645" s="112" t="e">
        <f>_xll.qlCalendarAdvance(Calendar,Y644,X645,"f",FALSE)</f>
        <v>#VALUE!</v>
      </c>
      <c r="Z645" s="114" t="e">
        <f>_xll.qlCalendarAdvance(Calendar,Y645,0&amp;"D")</f>
        <v>#VALUE!</v>
      </c>
      <c r="AA645" s="115" t="e">
        <f ca="1"/>
        <v>#N/A</v>
      </c>
      <c r="AB645" s="151"/>
    </row>
    <row r="646" spans="23:28" x14ac:dyDescent="0.2">
      <c r="W646" s="152"/>
      <c r="X646" s="119" t="str">
        <f t="shared" si="17"/>
        <v>1w</v>
      </c>
      <c r="Y646" s="112" t="e">
        <f>_xll.qlCalendarAdvance(Calendar,Y645,X646,"f",FALSE)</f>
        <v>#VALUE!</v>
      </c>
      <c r="Z646" s="114" t="e">
        <f>_xll.qlCalendarAdvance(Calendar,Y646,0&amp;"D")</f>
        <v>#VALUE!</v>
      </c>
      <c r="AA646" s="115" t="e">
        <f ca="1"/>
        <v>#N/A</v>
      </c>
      <c r="AB646" s="151"/>
    </row>
    <row r="647" spans="23:28" x14ac:dyDescent="0.2">
      <c r="W647" s="152"/>
      <c r="X647" s="119" t="str">
        <f t="shared" si="17"/>
        <v>1w</v>
      </c>
      <c r="Y647" s="112" t="e">
        <f>_xll.qlCalendarAdvance(Calendar,Y646,X647,"f",FALSE)</f>
        <v>#VALUE!</v>
      </c>
      <c r="Z647" s="114" t="e">
        <f>_xll.qlCalendarAdvance(Calendar,Y647,0&amp;"D")</f>
        <v>#VALUE!</v>
      </c>
      <c r="AA647" s="115" t="e">
        <f ca="1"/>
        <v>#N/A</v>
      </c>
      <c r="AB647" s="151"/>
    </row>
    <row r="648" spans="23:28" x14ac:dyDescent="0.2">
      <c r="W648" s="152"/>
      <c r="X648" s="119" t="str">
        <f t="shared" si="17"/>
        <v>1w</v>
      </c>
      <c r="Y648" s="112" t="e">
        <f>_xll.qlCalendarAdvance(Calendar,Y647,X648,"f",FALSE)</f>
        <v>#VALUE!</v>
      </c>
      <c r="Z648" s="114" t="e">
        <f>_xll.qlCalendarAdvance(Calendar,Y648,0&amp;"D")</f>
        <v>#VALUE!</v>
      </c>
      <c r="AA648" s="115" t="e">
        <f ca="1"/>
        <v>#N/A</v>
      </c>
      <c r="AB648" s="151"/>
    </row>
    <row r="649" spans="23:28" x14ac:dyDescent="0.2">
      <c r="W649" s="152"/>
      <c r="X649" s="119" t="str">
        <f t="shared" si="17"/>
        <v>1w</v>
      </c>
      <c r="Y649" s="112" t="e">
        <f>_xll.qlCalendarAdvance(Calendar,Y648,X649,"f",FALSE)</f>
        <v>#VALUE!</v>
      </c>
      <c r="Z649" s="114" t="e">
        <f>_xll.qlCalendarAdvance(Calendar,Y649,0&amp;"D")</f>
        <v>#VALUE!</v>
      </c>
      <c r="AA649" s="115" t="e">
        <f ca="1"/>
        <v>#N/A</v>
      </c>
      <c r="AB649" s="151"/>
    </row>
    <row r="650" spans="23:28" x14ac:dyDescent="0.2">
      <c r="W650" s="152"/>
      <c r="X650" s="119" t="str">
        <f t="shared" si="17"/>
        <v>1w</v>
      </c>
      <c r="Y650" s="112" t="e">
        <f>_xll.qlCalendarAdvance(Calendar,Y649,X650,"f",FALSE)</f>
        <v>#VALUE!</v>
      </c>
      <c r="Z650" s="114" t="e">
        <f>_xll.qlCalendarAdvance(Calendar,Y650,0&amp;"D")</f>
        <v>#VALUE!</v>
      </c>
      <c r="AA650" s="115" t="e">
        <f ca="1"/>
        <v>#N/A</v>
      </c>
      <c r="AB650" s="151"/>
    </row>
    <row r="651" spans="23:28" x14ac:dyDescent="0.2">
      <c r="W651" s="152"/>
      <c r="X651" s="119" t="str">
        <f t="shared" si="17"/>
        <v>1w</v>
      </c>
      <c r="Y651" s="112" t="e">
        <f>_xll.qlCalendarAdvance(Calendar,Y650,X651,"f",FALSE)</f>
        <v>#VALUE!</v>
      </c>
      <c r="Z651" s="114" t="e">
        <f>_xll.qlCalendarAdvance(Calendar,Y651,0&amp;"D")</f>
        <v>#VALUE!</v>
      </c>
      <c r="AA651" s="115" t="e">
        <f ca="1"/>
        <v>#N/A</v>
      </c>
      <c r="AB651" s="151"/>
    </row>
    <row r="652" spans="23:28" x14ac:dyDescent="0.2">
      <c r="W652" s="152"/>
      <c r="X652" s="119" t="str">
        <f t="shared" si="17"/>
        <v>1w</v>
      </c>
      <c r="Y652" s="112" t="e">
        <f>_xll.qlCalendarAdvance(Calendar,Y651,X652,"f",FALSE)</f>
        <v>#VALUE!</v>
      </c>
      <c r="Z652" s="114" t="e">
        <f>_xll.qlCalendarAdvance(Calendar,Y652,0&amp;"D")</f>
        <v>#VALUE!</v>
      </c>
      <c r="AA652" s="115" t="e">
        <f ca="1"/>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f ca="1"/>
        <v>#N/A</v>
      </c>
      <c r="AB653" s="151"/>
    </row>
    <row r="654" spans="23:28" x14ac:dyDescent="0.2">
      <c r="W654" s="152"/>
      <c r="X654" s="119" t="str">
        <f t="shared" si="18"/>
        <v>1w</v>
      </c>
      <c r="Y654" s="112" t="e">
        <f>_xll.qlCalendarAdvance(Calendar,Y653,X654,"f",FALSE)</f>
        <v>#VALUE!</v>
      </c>
      <c r="Z654" s="114" t="e">
        <f>_xll.qlCalendarAdvance(Calendar,Y654,0&amp;"D")</f>
        <v>#VALUE!</v>
      </c>
      <c r="AA654" s="115" t="e">
        <f ca="1"/>
        <v>#N/A</v>
      </c>
      <c r="AB654" s="151"/>
    </row>
    <row r="655" spans="23:28" x14ac:dyDescent="0.2">
      <c r="W655" s="152"/>
      <c r="X655" s="119" t="str">
        <f t="shared" si="18"/>
        <v>1w</v>
      </c>
      <c r="Y655" s="112" t="e">
        <f>_xll.qlCalendarAdvance(Calendar,Y654,X655,"f",FALSE)</f>
        <v>#VALUE!</v>
      </c>
      <c r="Z655" s="114" t="e">
        <f>_xll.qlCalendarAdvance(Calendar,Y655,0&amp;"D")</f>
        <v>#VALUE!</v>
      </c>
      <c r="AA655" s="115" t="e">
        <f ca="1"/>
        <v>#N/A</v>
      </c>
      <c r="AB655" s="151"/>
    </row>
    <row r="656" spans="23:28" x14ac:dyDescent="0.2">
      <c r="W656" s="152"/>
      <c r="X656" s="119" t="str">
        <f t="shared" si="18"/>
        <v>1w</v>
      </c>
      <c r="Y656" s="112" t="e">
        <f>_xll.qlCalendarAdvance(Calendar,Y655,X656,"f",FALSE)</f>
        <v>#VALUE!</v>
      </c>
      <c r="Z656" s="114" t="e">
        <f>_xll.qlCalendarAdvance(Calendar,Y656,0&amp;"D")</f>
        <v>#VALUE!</v>
      </c>
      <c r="AA656" s="115" t="e">
        <f ca="1"/>
        <v>#N/A</v>
      </c>
      <c r="AB656" s="151"/>
    </row>
    <row r="657" spans="23:28" x14ac:dyDescent="0.2">
      <c r="W657" s="152"/>
      <c r="X657" s="119" t="str">
        <f t="shared" si="18"/>
        <v>1w</v>
      </c>
      <c r="Y657" s="112" t="e">
        <f>_xll.qlCalendarAdvance(Calendar,Y656,X657,"f",FALSE)</f>
        <v>#VALUE!</v>
      </c>
      <c r="Z657" s="114" t="e">
        <f>_xll.qlCalendarAdvance(Calendar,Y657,0&amp;"D")</f>
        <v>#VALUE!</v>
      </c>
      <c r="AA657" s="115" t="e">
        <f ca="1"/>
        <v>#N/A</v>
      </c>
      <c r="AB657" s="151"/>
    </row>
    <row r="658" spans="23:28" x14ac:dyDescent="0.2">
      <c r="W658" s="152"/>
      <c r="X658" s="119" t="str">
        <f t="shared" si="18"/>
        <v>1w</v>
      </c>
      <c r="Y658" s="112" t="e">
        <f>_xll.qlCalendarAdvance(Calendar,Y657,X658,"f",FALSE)</f>
        <v>#VALUE!</v>
      </c>
      <c r="Z658" s="114" t="e">
        <f>_xll.qlCalendarAdvance(Calendar,Y658,0&amp;"D")</f>
        <v>#VALUE!</v>
      </c>
      <c r="AA658" s="115" t="e">
        <f ca="1"/>
        <v>#N/A</v>
      </c>
      <c r="AB658" s="151"/>
    </row>
    <row r="659" spans="23:28" x14ac:dyDescent="0.2">
      <c r="W659" s="152"/>
      <c r="X659" s="119" t="str">
        <f t="shared" si="18"/>
        <v>1w</v>
      </c>
      <c r="Y659" s="112" t="e">
        <f>_xll.qlCalendarAdvance(Calendar,Y658,X659,"f",FALSE)</f>
        <v>#VALUE!</v>
      </c>
      <c r="Z659" s="114" t="e">
        <f>_xll.qlCalendarAdvance(Calendar,Y659,0&amp;"D")</f>
        <v>#VALUE!</v>
      </c>
      <c r="AA659" s="115" t="e">
        <f ca="1"/>
        <v>#N/A</v>
      </c>
      <c r="AB659" s="151"/>
    </row>
    <row r="660" spans="23:28" x14ac:dyDescent="0.2">
      <c r="W660" s="152"/>
      <c r="X660" s="119" t="str">
        <f t="shared" si="18"/>
        <v>1w</v>
      </c>
      <c r="Y660" s="112" t="e">
        <f>_xll.qlCalendarAdvance(Calendar,Y659,X660,"f",FALSE)</f>
        <v>#VALUE!</v>
      </c>
      <c r="Z660" s="114" t="e">
        <f>_xll.qlCalendarAdvance(Calendar,Y660,0&amp;"D")</f>
        <v>#VALUE!</v>
      </c>
      <c r="AA660" s="115" t="e">
        <f ca="1"/>
        <v>#N/A</v>
      </c>
      <c r="AB660" s="151"/>
    </row>
    <row r="661" spans="23:28" x14ac:dyDescent="0.2">
      <c r="W661" s="152"/>
      <c r="X661" s="119" t="str">
        <f t="shared" si="18"/>
        <v>1w</v>
      </c>
      <c r="Y661" s="112" t="e">
        <f>_xll.qlCalendarAdvance(Calendar,Y660,X661,"f",FALSE)</f>
        <v>#VALUE!</v>
      </c>
      <c r="Z661" s="114" t="e">
        <f>_xll.qlCalendarAdvance(Calendar,Y661,0&amp;"D")</f>
        <v>#VALUE!</v>
      </c>
      <c r="AA661" s="115" t="e">
        <f ca="1"/>
        <v>#N/A</v>
      </c>
      <c r="AB661" s="151"/>
    </row>
    <row r="662" spans="23:28" x14ac:dyDescent="0.2">
      <c r="W662" s="152"/>
      <c r="X662" s="119" t="str">
        <f t="shared" si="18"/>
        <v>1w</v>
      </c>
      <c r="Y662" s="112" t="e">
        <f>_xll.qlCalendarAdvance(Calendar,Y661,X662,"f",FALSE)</f>
        <v>#VALUE!</v>
      </c>
      <c r="Z662" s="114" t="e">
        <f>_xll.qlCalendarAdvance(Calendar,Y662,0&amp;"D")</f>
        <v>#VALUE!</v>
      </c>
      <c r="AA662" s="115" t="e">
        <f ca="1"/>
        <v>#N/A</v>
      </c>
      <c r="AB662" s="151"/>
    </row>
    <row r="663" spans="23:28" x14ac:dyDescent="0.2">
      <c r="W663" s="152"/>
      <c r="X663" s="119" t="str">
        <f t="shared" si="18"/>
        <v>1w</v>
      </c>
      <c r="Y663" s="112" t="e">
        <f>_xll.qlCalendarAdvance(Calendar,Y662,X663,"f",FALSE)</f>
        <v>#VALUE!</v>
      </c>
      <c r="Z663" s="114" t="e">
        <f>_xll.qlCalendarAdvance(Calendar,Y663,0&amp;"D")</f>
        <v>#VALUE!</v>
      </c>
      <c r="AA663" s="115" t="e">
        <f ca="1"/>
        <v>#N/A</v>
      </c>
      <c r="AB663" s="151"/>
    </row>
    <row r="664" spans="23:28" x14ac:dyDescent="0.2">
      <c r="W664" s="152"/>
      <c r="X664" s="119" t="str">
        <f t="shared" si="18"/>
        <v>1w</v>
      </c>
      <c r="Y664" s="112" t="e">
        <f>_xll.qlCalendarAdvance(Calendar,Y663,X664,"f",FALSE)</f>
        <v>#VALUE!</v>
      </c>
      <c r="Z664" s="114" t="e">
        <f>_xll.qlCalendarAdvance(Calendar,Y664,0&amp;"D")</f>
        <v>#VALUE!</v>
      </c>
      <c r="AA664" s="115" t="e">
        <f ca="1"/>
        <v>#N/A</v>
      </c>
      <c r="AB664" s="151"/>
    </row>
    <row r="665" spans="23:28" x14ac:dyDescent="0.2">
      <c r="W665" s="152"/>
      <c r="X665" s="119" t="str">
        <f t="shared" si="18"/>
        <v>1w</v>
      </c>
      <c r="Y665" s="112" t="e">
        <f>_xll.qlCalendarAdvance(Calendar,Y664,X665,"f",FALSE)</f>
        <v>#VALUE!</v>
      </c>
      <c r="Z665" s="114" t="e">
        <f>_xll.qlCalendarAdvance(Calendar,Y665,0&amp;"D")</f>
        <v>#VALUE!</v>
      </c>
      <c r="AA665" s="115" t="e">
        <f ca="1"/>
        <v>#N/A</v>
      </c>
      <c r="AB665" s="151"/>
    </row>
    <row r="666" spans="23:28" x14ac:dyDescent="0.2">
      <c r="W666" s="152"/>
      <c r="X666" s="119" t="str">
        <f t="shared" si="18"/>
        <v>1w</v>
      </c>
      <c r="Y666" s="112" t="e">
        <f>_xll.qlCalendarAdvance(Calendar,Y665,X666,"f",FALSE)</f>
        <v>#VALUE!</v>
      </c>
      <c r="Z666" s="114" t="e">
        <f>_xll.qlCalendarAdvance(Calendar,Y666,0&amp;"D")</f>
        <v>#VALUE!</v>
      </c>
      <c r="AA666" s="115" t="e">
        <f ca="1"/>
        <v>#N/A</v>
      </c>
      <c r="AB666" s="151"/>
    </row>
    <row r="667" spans="23:28" x14ac:dyDescent="0.2">
      <c r="W667" s="152"/>
      <c r="X667" s="119" t="str">
        <f t="shared" si="18"/>
        <v>1w</v>
      </c>
      <c r="Y667" s="112" t="e">
        <f>_xll.qlCalendarAdvance(Calendar,Y666,X667,"f",FALSE)</f>
        <v>#VALUE!</v>
      </c>
      <c r="Z667" s="114" t="e">
        <f>_xll.qlCalendarAdvance(Calendar,Y667,0&amp;"D")</f>
        <v>#VALUE!</v>
      </c>
      <c r="AA667" s="115" t="e">
        <f ca="1"/>
        <v>#N/A</v>
      </c>
      <c r="AB667" s="151"/>
    </row>
    <row r="668" spans="23:28" x14ac:dyDescent="0.2">
      <c r="W668" s="152"/>
      <c r="X668" s="119" t="str">
        <f t="shared" si="18"/>
        <v>1w</v>
      </c>
      <c r="Y668" s="112" t="e">
        <f>_xll.qlCalendarAdvance(Calendar,Y667,X668,"f",FALSE)</f>
        <v>#VALUE!</v>
      </c>
      <c r="Z668" s="114" t="e">
        <f>_xll.qlCalendarAdvance(Calendar,Y668,0&amp;"D")</f>
        <v>#VALUE!</v>
      </c>
      <c r="AA668" s="115" t="e">
        <f ca="1"/>
        <v>#N/A</v>
      </c>
      <c r="AB668" s="151"/>
    </row>
    <row r="669" spans="23:28" x14ac:dyDescent="0.2">
      <c r="W669" s="152"/>
      <c r="X669" s="119" t="str">
        <f t="shared" si="18"/>
        <v>1w</v>
      </c>
      <c r="Y669" s="112" t="e">
        <f>_xll.qlCalendarAdvance(Calendar,Y668,X669,"f",FALSE)</f>
        <v>#VALUE!</v>
      </c>
      <c r="Z669" s="114" t="e">
        <f>_xll.qlCalendarAdvance(Calendar,Y669,0&amp;"D")</f>
        <v>#VALUE!</v>
      </c>
      <c r="AA669" s="115" t="e">
        <f ca="1"/>
        <v>#N/A</v>
      </c>
      <c r="AB669" s="151"/>
    </row>
    <row r="670" spans="23:28" x14ac:dyDescent="0.2">
      <c r="W670" s="152"/>
      <c r="X670" s="119" t="str">
        <f t="shared" si="18"/>
        <v>1w</v>
      </c>
      <c r="Y670" s="112" t="e">
        <f>_xll.qlCalendarAdvance(Calendar,Y669,X670,"f",FALSE)</f>
        <v>#VALUE!</v>
      </c>
      <c r="Z670" s="114" t="e">
        <f>_xll.qlCalendarAdvance(Calendar,Y670,0&amp;"D")</f>
        <v>#VALUE!</v>
      </c>
      <c r="AA670" s="115" t="e">
        <f ca="1"/>
        <v>#N/A</v>
      </c>
      <c r="AB670" s="151"/>
    </row>
    <row r="671" spans="23:28" x14ac:dyDescent="0.2">
      <c r="W671" s="152"/>
      <c r="X671" s="119" t="str">
        <f t="shared" si="18"/>
        <v>1w</v>
      </c>
      <c r="Y671" s="112" t="e">
        <f>_xll.qlCalendarAdvance(Calendar,Y670,X671,"f",FALSE)</f>
        <v>#VALUE!</v>
      </c>
      <c r="Z671" s="114" t="e">
        <f>_xll.qlCalendarAdvance(Calendar,Y671,0&amp;"D")</f>
        <v>#VALUE!</v>
      </c>
      <c r="AA671" s="115" t="e">
        <f ca="1"/>
        <v>#N/A</v>
      </c>
      <c r="AB671" s="151"/>
    </row>
    <row r="672" spans="23:28" x14ac:dyDescent="0.2">
      <c r="W672" s="152"/>
      <c r="X672" s="119" t="str">
        <f t="shared" si="18"/>
        <v>1w</v>
      </c>
      <c r="Y672" s="112" t="e">
        <f>_xll.qlCalendarAdvance(Calendar,Y671,X672,"f",FALSE)</f>
        <v>#VALUE!</v>
      </c>
      <c r="Z672" s="114" t="e">
        <f>_xll.qlCalendarAdvance(Calendar,Y672,0&amp;"D")</f>
        <v>#VALUE!</v>
      </c>
      <c r="AA672" s="115" t="e">
        <f ca="1"/>
        <v>#N/A</v>
      </c>
      <c r="AB672" s="151"/>
    </row>
    <row r="673" spans="23:28" x14ac:dyDescent="0.2">
      <c r="W673" s="152"/>
      <c r="X673" s="119" t="str">
        <f t="shared" si="18"/>
        <v>1w</v>
      </c>
      <c r="Y673" s="112" t="e">
        <f>_xll.qlCalendarAdvance(Calendar,Y672,X673,"f",FALSE)</f>
        <v>#VALUE!</v>
      </c>
      <c r="Z673" s="114" t="e">
        <f>_xll.qlCalendarAdvance(Calendar,Y673,0&amp;"D")</f>
        <v>#VALUE!</v>
      </c>
      <c r="AA673" s="115" t="e">
        <f ca="1"/>
        <v>#N/A</v>
      </c>
      <c r="AB673" s="151"/>
    </row>
    <row r="674" spans="23:28" x14ac:dyDescent="0.2">
      <c r="W674" s="152"/>
      <c r="X674" s="119" t="str">
        <f t="shared" si="18"/>
        <v>1w</v>
      </c>
      <c r="Y674" s="112" t="e">
        <f>_xll.qlCalendarAdvance(Calendar,Y673,X674,"f",FALSE)</f>
        <v>#VALUE!</v>
      </c>
      <c r="Z674" s="114" t="e">
        <f>_xll.qlCalendarAdvance(Calendar,Y674,0&amp;"D")</f>
        <v>#VALUE!</v>
      </c>
      <c r="AA674" s="115" t="e">
        <f ca="1"/>
        <v>#N/A</v>
      </c>
      <c r="AB674" s="151"/>
    </row>
    <row r="675" spans="23:28" x14ac:dyDescent="0.2">
      <c r="W675" s="152"/>
      <c r="X675" s="119" t="str">
        <f t="shared" si="18"/>
        <v>1w</v>
      </c>
      <c r="Y675" s="112" t="e">
        <f>_xll.qlCalendarAdvance(Calendar,Y674,X675,"f",FALSE)</f>
        <v>#VALUE!</v>
      </c>
      <c r="Z675" s="114" t="e">
        <f>_xll.qlCalendarAdvance(Calendar,Y675,0&amp;"D")</f>
        <v>#VALUE!</v>
      </c>
      <c r="AA675" s="115" t="e">
        <f ca="1"/>
        <v>#N/A</v>
      </c>
      <c r="AB675" s="151"/>
    </row>
    <row r="676" spans="23:28" x14ac:dyDescent="0.2">
      <c r="W676" s="152"/>
      <c r="X676" s="119" t="str">
        <f t="shared" si="18"/>
        <v>1w</v>
      </c>
      <c r="Y676" s="112" t="e">
        <f>_xll.qlCalendarAdvance(Calendar,Y675,X676,"f",FALSE)</f>
        <v>#VALUE!</v>
      </c>
      <c r="Z676" s="114" t="e">
        <f>_xll.qlCalendarAdvance(Calendar,Y676,0&amp;"D")</f>
        <v>#VALUE!</v>
      </c>
      <c r="AA676" s="115" t="e">
        <f ca="1"/>
        <v>#N/A</v>
      </c>
      <c r="AB676" s="151"/>
    </row>
    <row r="677" spans="23:28" x14ac:dyDescent="0.2">
      <c r="W677" s="152"/>
      <c r="X677" s="119" t="str">
        <f t="shared" si="18"/>
        <v>1w</v>
      </c>
      <c r="Y677" s="112" t="e">
        <f>_xll.qlCalendarAdvance(Calendar,Y676,X677,"f",FALSE)</f>
        <v>#VALUE!</v>
      </c>
      <c r="Z677" s="114" t="e">
        <f>_xll.qlCalendarAdvance(Calendar,Y677,0&amp;"D")</f>
        <v>#VALUE!</v>
      </c>
      <c r="AA677" s="115" t="e">
        <f ca="1"/>
        <v>#N/A</v>
      </c>
      <c r="AB677" s="151"/>
    </row>
    <row r="678" spans="23:28" x14ac:dyDescent="0.2">
      <c r="W678" s="152"/>
      <c r="X678" s="119" t="str">
        <f t="shared" si="18"/>
        <v>1w</v>
      </c>
      <c r="Y678" s="112" t="e">
        <f>_xll.qlCalendarAdvance(Calendar,Y677,X678,"f",FALSE)</f>
        <v>#VALUE!</v>
      </c>
      <c r="Z678" s="114" t="e">
        <f>_xll.qlCalendarAdvance(Calendar,Y678,0&amp;"D")</f>
        <v>#VALUE!</v>
      </c>
      <c r="AA678" s="115" t="e">
        <f ca="1"/>
        <v>#N/A</v>
      </c>
      <c r="AB678" s="151"/>
    </row>
    <row r="679" spans="23:28" x14ac:dyDescent="0.2">
      <c r="W679" s="152"/>
      <c r="X679" s="119" t="str">
        <f t="shared" si="18"/>
        <v>1w</v>
      </c>
      <c r="Y679" s="112" t="e">
        <f>_xll.qlCalendarAdvance(Calendar,Y678,X679,"f",FALSE)</f>
        <v>#VALUE!</v>
      </c>
      <c r="Z679" s="114" t="e">
        <f>_xll.qlCalendarAdvance(Calendar,Y679,0&amp;"D")</f>
        <v>#VALUE!</v>
      </c>
      <c r="AA679" s="115" t="e">
        <f ca="1"/>
        <v>#N/A</v>
      </c>
      <c r="AB679" s="151"/>
    </row>
    <row r="680" spans="23:28" x14ac:dyDescent="0.2">
      <c r="W680" s="152"/>
      <c r="X680" s="119" t="str">
        <f t="shared" si="18"/>
        <v>1w</v>
      </c>
      <c r="Y680" s="112" t="e">
        <f>_xll.qlCalendarAdvance(Calendar,Y679,X680,"f",FALSE)</f>
        <v>#VALUE!</v>
      </c>
      <c r="Z680" s="114" t="e">
        <f>_xll.qlCalendarAdvance(Calendar,Y680,0&amp;"D")</f>
        <v>#VALUE!</v>
      </c>
      <c r="AA680" s="115" t="e">
        <f ca="1"/>
        <v>#N/A</v>
      </c>
      <c r="AB680" s="151"/>
    </row>
    <row r="681" spans="23:28" x14ac:dyDescent="0.2">
      <c r="W681" s="152"/>
      <c r="X681" s="119" t="str">
        <f t="shared" si="18"/>
        <v>1w</v>
      </c>
      <c r="Y681" s="112" t="e">
        <f>_xll.qlCalendarAdvance(Calendar,Y680,X681,"f",FALSE)</f>
        <v>#VALUE!</v>
      </c>
      <c r="Z681" s="114" t="e">
        <f>_xll.qlCalendarAdvance(Calendar,Y681,0&amp;"D")</f>
        <v>#VALUE!</v>
      </c>
      <c r="AA681" s="115" t="e">
        <f ca="1"/>
        <v>#N/A</v>
      </c>
      <c r="AB681" s="151"/>
    </row>
    <row r="682" spans="23:28" x14ac:dyDescent="0.2">
      <c r="W682" s="152"/>
      <c r="X682" s="119" t="str">
        <f t="shared" si="18"/>
        <v>1w</v>
      </c>
      <c r="Y682" s="112" t="e">
        <f>_xll.qlCalendarAdvance(Calendar,Y681,X682,"f",FALSE)</f>
        <v>#VALUE!</v>
      </c>
      <c r="Z682" s="114" t="e">
        <f>_xll.qlCalendarAdvance(Calendar,Y682,0&amp;"D")</f>
        <v>#VALUE!</v>
      </c>
      <c r="AA682" s="115" t="e">
        <f ca="1"/>
        <v>#N/A</v>
      </c>
      <c r="AB682" s="151"/>
    </row>
    <row r="683" spans="23:28" x14ac:dyDescent="0.2">
      <c r="W683" s="152"/>
      <c r="X683" s="119" t="str">
        <f t="shared" si="18"/>
        <v>1w</v>
      </c>
      <c r="Y683" s="112" t="e">
        <f>_xll.qlCalendarAdvance(Calendar,Y682,X683,"f",FALSE)</f>
        <v>#VALUE!</v>
      </c>
      <c r="Z683" s="114" t="e">
        <f>_xll.qlCalendarAdvance(Calendar,Y683,0&amp;"D")</f>
        <v>#VALUE!</v>
      </c>
      <c r="AA683" s="115" t="e">
        <f ca="1"/>
        <v>#N/A</v>
      </c>
      <c r="AB683" s="151"/>
    </row>
    <row r="684" spans="23:28" x14ac:dyDescent="0.2">
      <c r="W684" s="152"/>
      <c r="X684" s="119" t="str">
        <f t="shared" si="18"/>
        <v>1w</v>
      </c>
      <c r="Y684" s="112" t="e">
        <f>_xll.qlCalendarAdvance(Calendar,Y683,X684,"f",FALSE)</f>
        <v>#VALUE!</v>
      </c>
      <c r="Z684" s="114" t="e">
        <f>_xll.qlCalendarAdvance(Calendar,Y684,0&amp;"D")</f>
        <v>#VALUE!</v>
      </c>
      <c r="AA684" s="115" t="e">
        <f ca="1"/>
        <v>#N/A</v>
      </c>
      <c r="AB684" s="151"/>
    </row>
    <row r="685" spans="23:28" x14ac:dyDescent="0.2">
      <c r="W685" s="152"/>
      <c r="X685" s="119" t="str">
        <f t="shared" si="18"/>
        <v>1w</v>
      </c>
      <c r="Y685" s="112" t="e">
        <f>_xll.qlCalendarAdvance(Calendar,Y684,X685,"f",FALSE)</f>
        <v>#VALUE!</v>
      </c>
      <c r="Z685" s="114" t="e">
        <f>_xll.qlCalendarAdvance(Calendar,Y685,0&amp;"D")</f>
        <v>#VALUE!</v>
      </c>
      <c r="AA685" s="115" t="e">
        <f ca="1"/>
        <v>#N/A</v>
      </c>
      <c r="AB685" s="151"/>
    </row>
    <row r="686" spans="23:28" x14ac:dyDescent="0.2">
      <c r="W686" s="152"/>
      <c r="X686" s="119" t="str">
        <f t="shared" si="18"/>
        <v>1w</v>
      </c>
      <c r="Y686" s="112" t="e">
        <f>_xll.qlCalendarAdvance(Calendar,Y685,X686,"f",FALSE)</f>
        <v>#VALUE!</v>
      </c>
      <c r="Z686" s="114" t="e">
        <f>_xll.qlCalendarAdvance(Calendar,Y686,0&amp;"D")</f>
        <v>#VALUE!</v>
      </c>
      <c r="AA686" s="115" t="e">
        <f ca="1"/>
        <v>#N/A</v>
      </c>
      <c r="AB686" s="151"/>
    </row>
    <row r="687" spans="23:28" x14ac:dyDescent="0.2">
      <c r="W687" s="152"/>
      <c r="X687" s="119" t="str">
        <f t="shared" si="18"/>
        <v>1w</v>
      </c>
      <c r="Y687" s="112" t="e">
        <f>_xll.qlCalendarAdvance(Calendar,Y686,X687,"f",FALSE)</f>
        <v>#VALUE!</v>
      </c>
      <c r="Z687" s="114" t="e">
        <f>_xll.qlCalendarAdvance(Calendar,Y687,0&amp;"D")</f>
        <v>#VALUE!</v>
      </c>
      <c r="AA687" s="115" t="e">
        <f ca="1"/>
        <v>#N/A</v>
      </c>
      <c r="AB687" s="151"/>
    </row>
    <row r="688" spans="23:28" x14ac:dyDescent="0.2">
      <c r="W688" s="152"/>
      <c r="X688" s="119" t="str">
        <f t="shared" si="18"/>
        <v>1w</v>
      </c>
      <c r="Y688" s="112" t="e">
        <f>_xll.qlCalendarAdvance(Calendar,Y687,X688,"f",FALSE)</f>
        <v>#VALUE!</v>
      </c>
      <c r="Z688" s="114" t="e">
        <f>_xll.qlCalendarAdvance(Calendar,Y688,0&amp;"D")</f>
        <v>#VALUE!</v>
      </c>
      <c r="AA688" s="115" t="e">
        <f ca="1"/>
        <v>#N/A</v>
      </c>
      <c r="AB688" s="151"/>
    </row>
    <row r="689" spans="23:28" x14ac:dyDescent="0.2">
      <c r="W689" s="152"/>
      <c r="X689" s="119" t="str">
        <f t="shared" si="18"/>
        <v>1w</v>
      </c>
      <c r="Y689" s="112" t="e">
        <f>_xll.qlCalendarAdvance(Calendar,Y688,X689,"f",FALSE)</f>
        <v>#VALUE!</v>
      </c>
      <c r="Z689" s="114" t="e">
        <f>_xll.qlCalendarAdvance(Calendar,Y689,0&amp;"D")</f>
        <v>#VALUE!</v>
      </c>
      <c r="AA689" s="115" t="e">
        <f ca="1"/>
        <v>#N/A</v>
      </c>
      <c r="AB689" s="151"/>
    </row>
    <row r="690" spans="23:28" x14ac:dyDescent="0.2">
      <c r="W690" s="152"/>
      <c r="X690" s="119" t="str">
        <f t="shared" si="18"/>
        <v>1w</v>
      </c>
      <c r="Y690" s="112" t="e">
        <f>_xll.qlCalendarAdvance(Calendar,Y689,X690,"f",FALSE)</f>
        <v>#VALUE!</v>
      </c>
      <c r="Z690" s="114" t="e">
        <f>_xll.qlCalendarAdvance(Calendar,Y690,0&amp;"D")</f>
        <v>#VALUE!</v>
      </c>
      <c r="AA690" s="115" t="e">
        <f ca="1"/>
        <v>#N/A</v>
      </c>
      <c r="AB690" s="151"/>
    </row>
    <row r="691" spans="23:28" x14ac:dyDescent="0.2">
      <c r="W691" s="152"/>
      <c r="X691" s="119" t="str">
        <f t="shared" si="18"/>
        <v>1w</v>
      </c>
      <c r="Y691" s="112" t="e">
        <f>_xll.qlCalendarAdvance(Calendar,Y690,X691,"f",FALSE)</f>
        <v>#VALUE!</v>
      </c>
      <c r="Z691" s="114" t="e">
        <f>_xll.qlCalendarAdvance(Calendar,Y691,0&amp;"D")</f>
        <v>#VALUE!</v>
      </c>
      <c r="AA691" s="115" t="e">
        <f ca="1"/>
        <v>#N/A</v>
      </c>
      <c r="AB691" s="151"/>
    </row>
    <row r="692" spans="23:28" x14ac:dyDescent="0.2">
      <c r="W692" s="152"/>
      <c r="X692" s="119" t="str">
        <f t="shared" si="18"/>
        <v>1w</v>
      </c>
      <c r="Y692" s="112" t="e">
        <f>_xll.qlCalendarAdvance(Calendar,Y691,X692,"f",FALSE)</f>
        <v>#VALUE!</v>
      </c>
      <c r="Z692" s="114" t="e">
        <f>_xll.qlCalendarAdvance(Calendar,Y692,0&amp;"D")</f>
        <v>#VALUE!</v>
      </c>
      <c r="AA692" s="115" t="e">
        <f ca="1"/>
        <v>#N/A</v>
      </c>
      <c r="AB692" s="151"/>
    </row>
    <row r="693" spans="23:28" x14ac:dyDescent="0.2">
      <c r="W693" s="152"/>
      <c r="X693" s="119" t="str">
        <f t="shared" si="18"/>
        <v>1w</v>
      </c>
      <c r="Y693" s="112" t="e">
        <f>_xll.qlCalendarAdvance(Calendar,Y692,X693,"f",FALSE)</f>
        <v>#VALUE!</v>
      </c>
      <c r="Z693" s="114" t="e">
        <f>_xll.qlCalendarAdvance(Calendar,Y693,0&amp;"D")</f>
        <v>#VALUE!</v>
      </c>
      <c r="AA693" s="115" t="e">
        <f ca="1"/>
        <v>#N/A</v>
      </c>
      <c r="AB693" s="151"/>
    </row>
    <row r="694" spans="23:28" x14ac:dyDescent="0.2">
      <c r="W694" s="152"/>
      <c r="X694" s="119" t="str">
        <f t="shared" si="18"/>
        <v>1w</v>
      </c>
      <c r="Y694" s="112" t="e">
        <f>_xll.qlCalendarAdvance(Calendar,Y693,X694,"f",FALSE)</f>
        <v>#VALUE!</v>
      </c>
      <c r="Z694" s="114" t="e">
        <f>_xll.qlCalendarAdvance(Calendar,Y694,0&amp;"D")</f>
        <v>#VALUE!</v>
      </c>
      <c r="AA694" s="115" t="e">
        <f ca="1"/>
        <v>#N/A</v>
      </c>
      <c r="AB694" s="151"/>
    </row>
    <row r="695" spans="23:28" x14ac:dyDescent="0.2">
      <c r="W695" s="152"/>
      <c r="X695" s="119" t="str">
        <f t="shared" si="18"/>
        <v>1w</v>
      </c>
      <c r="Y695" s="112" t="e">
        <f>_xll.qlCalendarAdvance(Calendar,Y694,X695,"f",FALSE)</f>
        <v>#VALUE!</v>
      </c>
      <c r="Z695" s="114" t="e">
        <f>_xll.qlCalendarAdvance(Calendar,Y695,0&amp;"D")</f>
        <v>#VALUE!</v>
      </c>
      <c r="AA695" s="115" t="e">
        <f ca="1"/>
        <v>#N/A</v>
      </c>
      <c r="AB695" s="151"/>
    </row>
    <row r="696" spans="23:28" x14ac:dyDescent="0.2">
      <c r="W696" s="152"/>
      <c r="X696" s="119" t="str">
        <f t="shared" si="18"/>
        <v>1w</v>
      </c>
      <c r="Y696" s="112" t="e">
        <f>_xll.qlCalendarAdvance(Calendar,Y695,X696,"f",FALSE)</f>
        <v>#VALUE!</v>
      </c>
      <c r="Z696" s="114" t="e">
        <f>_xll.qlCalendarAdvance(Calendar,Y696,0&amp;"D")</f>
        <v>#VALUE!</v>
      </c>
      <c r="AA696" s="115" t="e">
        <f ca="1"/>
        <v>#N/A</v>
      </c>
      <c r="AB696" s="151"/>
    </row>
    <row r="697" spans="23:28" x14ac:dyDescent="0.2">
      <c r="W697" s="152"/>
      <c r="X697" s="119" t="str">
        <f t="shared" si="18"/>
        <v>1w</v>
      </c>
      <c r="Y697" s="112" t="e">
        <f>_xll.qlCalendarAdvance(Calendar,Y696,X697,"f",FALSE)</f>
        <v>#VALUE!</v>
      </c>
      <c r="Z697" s="114" t="e">
        <f>_xll.qlCalendarAdvance(Calendar,Y697,0&amp;"D")</f>
        <v>#VALUE!</v>
      </c>
      <c r="AA697" s="115" t="e">
        <f ca="1"/>
        <v>#N/A</v>
      </c>
      <c r="AB697" s="151"/>
    </row>
    <row r="698" spans="23:28" x14ac:dyDescent="0.2">
      <c r="W698" s="152"/>
      <c r="X698" s="119" t="str">
        <f t="shared" si="18"/>
        <v>1w</v>
      </c>
      <c r="Y698" s="112" t="e">
        <f>_xll.qlCalendarAdvance(Calendar,Y697,X698,"f",FALSE)</f>
        <v>#VALUE!</v>
      </c>
      <c r="Z698" s="114" t="e">
        <f>_xll.qlCalendarAdvance(Calendar,Y698,0&amp;"D")</f>
        <v>#VALUE!</v>
      </c>
      <c r="AA698" s="115" t="e">
        <f ca="1"/>
        <v>#N/A</v>
      </c>
      <c r="AB698" s="151"/>
    </row>
    <row r="699" spans="23:28" x14ac:dyDescent="0.2">
      <c r="W699" s="152"/>
      <c r="X699" s="119" t="str">
        <f t="shared" si="18"/>
        <v>1w</v>
      </c>
      <c r="Y699" s="112" t="e">
        <f>_xll.qlCalendarAdvance(Calendar,Y698,X699,"f",FALSE)</f>
        <v>#VALUE!</v>
      </c>
      <c r="Z699" s="114" t="e">
        <f>_xll.qlCalendarAdvance(Calendar,Y699,0&amp;"D")</f>
        <v>#VALUE!</v>
      </c>
      <c r="AA699" s="115" t="e">
        <f ca="1"/>
        <v>#N/A</v>
      </c>
      <c r="AB699" s="151"/>
    </row>
    <row r="700" spans="23:28" x14ac:dyDescent="0.2">
      <c r="W700" s="152"/>
      <c r="X700" s="119" t="str">
        <f t="shared" si="18"/>
        <v>1w</v>
      </c>
      <c r="Y700" s="112" t="e">
        <f>_xll.qlCalendarAdvance(Calendar,Y699,X700,"f",FALSE)</f>
        <v>#VALUE!</v>
      </c>
      <c r="Z700" s="114" t="e">
        <f>_xll.qlCalendarAdvance(Calendar,Y700,0&amp;"D")</f>
        <v>#VALUE!</v>
      </c>
      <c r="AA700" s="115" t="e">
        <f ca="1"/>
        <v>#N/A</v>
      </c>
      <c r="AB700" s="151"/>
    </row>
    <row r="701" spans="23:28" x14ac:dyDescent="0.2">
      <c r="W701" s="152"/>
      <c r="X701" s="119" t="str">
        <f t="shared" si="18"/>
        <v>1w</v>
      </c>
      <c r="Y701" s="112" t="e">
        <f>_xll.qlCalendarAdvance(Calendar,Y700,X701,"f",FALSE)</f>
        <v>#VALUE!</v>
      </c>
      <c r="Z701" s="114" t="e">
        <f>_xll.qlCalendarAdvance(Calendar,Y701,0&amp;"D")</f>
        <v>#VALUE!</v>
      </c>
      <c r="AA701" s="115" t="e">
        <f ca="1"/>
        <v>#N/A</v>
      </c>
      <c r="AB701" s="151"/>
    </row>
    <row r="702" spans="23:28" x14ac:dyDescent="0.2">
      <c r="W702" s="152"/>
      <c r="X702" s="119" t="str">
        <f t="shared" si="18"/>
        <v>1w</v>
      </c>
      <c r="Y702" s="112" t="e">
        <f>_xll.qlCalendarAdvance(Calendar,Y701,X702,"f",FALSE)</f>
        <v>#VALUE!</v>
      </c>
      <c r="Z702" s="114" t="e">
        <f>_xll.qlCalendarAdvance(Calendar,Y702,0&amp;"D")</f>
        <v>#VALUE!</v>
      </c>
      <c r="AA702" s="115" t="e">
        <f ca="1"/>
        <v>#N/A</v>
      </c>
      <c r="AB702" s="151"/>
    </row>
    <row r="703" spans="23:28" x14ac:dyDescent="0.2">
      <c r="W703" s="152"/>
      <c r="X703" s="119" t="str">
        <f t="shared" si="18"/>
        <v>1w</v>
      </c>
      <c r="Y703" s="112" t="e">
        <f>_xll.qlCalendarAdvance(Calendar,Y702,X703,"f",FALSE)</f>
        <v>#VALUE!</v>
      </c>
      <c r="Z703" s="114" t="e">
        <f>_xll.qlCalendarAdvance(Calendar,Y703,0&amp;"D")</f>
        <v>#VALUE!</v>
      </c>
      <c r="AA703" s="115" t="e">
        <f ca="1"/>
        <v>#N/A</v>
      </c>
      <c r="AB703" s="151"/>
    </row>
    <row r="704" spans="23:28" x14ac:dyDescent="0.2">
      <c r="W704" s="152"/>
      <c r="X704" s="119" t="str">
        <f t="shared" si="18"/>
        <v>1w</v>
      </c>
      <c r="Y704" s="112" t="e">
        <f>_xll.qlCalendarAdvance(Calendar,Y703,X704,"f",FALSE)</f>
        <v>#VALUE!</v>
      </c>
      <c r="Z704" s="114" t="e">
        <f>_xll.qlCalendarAdvance(Calendar,Y704,0&amp;"D")</f>
        <v>#VALUE!</v>
      </c>
      <c r="AA704" s="115" t="e">
        <f ca="1"/>
        <v>#N/A</v>
      </c>
      <c r="AB704" s="151"/>
    </row>
    <row r="705" spans="23:28" x14ac:dyDescent="0.2">
      <c r="W705" s="152"/>
      <c r="X705" s="119" t="str">
        <f t="shared" si="18"/>
        <v>1w</v>
      </c>
      <c r="Y705" s="112" t="e">
        <f>_xll.qlCalendarAdvance(Calendar,Y704,X705,"f",FALSE)</f>
        <v>#VALUE!</v>
      </c>
      <c r="Z705" s="114" t="e">
        <f>_xll.qlCalendarAdvance(Calendar,Y705,0&amp;"D")</f>
        <v>#VALUE!</v>
      </c>
      <c r="AA705" s="115" t="e">
        <f ca="1"/>
        <v>#N/A</v>
      </c>
      <c r="AB705" s="151"/>
    </row>
    <row r="706" spans="23:28" x14ac:dyDescent="0.2">
      <c r="W706" s="152"/>
      <c r="X706" s="119" t="str">
        <f t="shared" si="18"/>
        <v>1w</v>
      </c>
      <c r="Y706" s="112" t="e">
        <f>_xll.qlCalendarAdvance(Calendar,Y705,X706,"f",FALSE)</f>
        <v>#VALUE!</v>
      </c>
      <c r="Z706" s="114" t="e">
        <f>_xll.qlCalendarAdvance(Calendar,Y706,0&amp;"D")</f>
        <v>#VALUE!</v>
      </c>
      <c r="AA706" s="115" t="e">
        <f ca="1"/>
        <v>#N/A</v>
      </c>
      <c r="AB706" s="151"/>
    </row>
    <row r="707" spans="23:28" x14ac:dyDescent="0.2">
      <c r="W707" s="152"/>
      <c r="X707" s="119" t="str">
        <f t="shared" si="18"/>
        <v>1w</v>
      </c>
      <c r="Y707" s="112" t="e">
        <f>_xll.qlCalendarAdvance(Calendar,Y706,X707,"f",FALSE)</f>
        <v>#VALUE!</v>
      </c>
      <c r="Z707" s="114" t="e">
        <f>_xll.qlCalendarAdvance(Calendar,Y707,0&amp;"D")</f>
        <v>#VALUE!</v>
      </c>
      <c r="AA707" s="115" t="e">
        <f ca="1"/>
        <v>#N/A</v>
      </c>
      <c r="AB707" s="151"/>
    </row>
    <row r="708" spans="23:28" x14ac:dyDescent="0.2">
      <c r="W708" s="152"/>
      <c r="X708" s="119" t="str">
        <f t="shared" si="18"/>
        <v>1w</v>
      </c>
      <c r="Y708" s="112" t="e">
        <f>_xll.qlCalendarAdvance(Calendar,Y707,X708,"f",FALSE)</f>
        <v>#VALUE!</v>
      </c>
      <c r="Z708" s="114" t="e">
        <f>_xll.qlCalendarAdvance(Calendar,Y708,0&amp;"D")</f>
        <v>#VALUE!</v>
      </c>
      <c r="AA708" s="115" t="e">
        <f ca="1"/>
        <v>#N/A</v>
      </c>
      <c r="AB708" s="151"/>
    </row>
    <row r="709" spans="23:28" x14ac:dyDescent="0.2">
      <c r="W709" s="152"/>
      <c r="X709" s="119" t="str">
        <f t="shared" si="18"/>
        <v>1w</v>
      </c>
      <c r="Y709" s="112" t="e">
        <f>_xll.qlCalendarAdvance(Calendar,Y708,X709,"f",FALSE)</f>
        <v>#VALUE!</v>
      </c>
      <c r="Z709" s="114" t="e">
        <f>_xll.qlCalendarAdvance(Calendar,Y709,0&amp;"D")</f>
        <v>#VALUE!</v>
      </c>
      <c r="AA709" s="115" t="e">
        <f ca="1"/>
        <v>#N/A</v>
      </c>
      <c r="AB709" s="151"/>
    </row>
    <row r="710" spans="23:28" x14ac:dyDescent="0.2">
      <c r="W710" s="152"/>
      <c r="X710" s="119" t="str">
        <f t="shared" si="18"/>
        <v>1w</v>
      </c>
      <c r="Y710" s="112" t="e">
        <f>_xll.qlCalendarAdvance(Calendar,Y709,X710,"f",FALSE)</f>
        <v>#VALUE!</v>
      </c>
      <c r="Z710" s="114" t="e">
        <f>_xll.qlCalendarAdvance(Calendar,Y710,0&amp;"D")</f>
        <v>#VALUE!</v>
      </c>
      <c r="AA710" s="115" t="e">
        <f ca="1"/>
        <v>#N/A</v>
      </c>
      <c r="AB710" s="151"/>
    </row>
    <row r="711" spans="23:28" x14ac:dyDescent="0.2">
      <c r="W711" s="152"/>
      <c r="X711" s="119" t="str">
        <f t="shared" si="18"/>
        <v>1w</v>
      </c>
      <c r="Y711" s="112" t="e">
        <f>_xll.qlCalendarAdvance(Calendar,Y710,X711,"f",FALSE)</f>
        <v>#VALUE!</v>
      </c>
      <c r="Z711" s="114" t="e">
        <f>_xll.qlCalendarAdvance(Calendar,Y711,0&amp;"D")</f>
        <v>#VALUE!</v>
      </c>
      <c r="AA711" s="115" t="e">
        <f ca="1"/>
        <v>#N/A</v>
      </c>
      <c r="AB711" s="151"/>
    </row>
    <row r="712" spans="23:28" x14ac:dyDescent="0.2">
      <c r="W712" s="152"/>
      <c r="X712" s="119" t="str">
        <f t="shared" si="18"/>
        <v>1w</v>
      </c>
      <c r="Y712" s="112" t="e">
        <f>_xll.qlCalendarAdvance(Calendar,Y711,X712,"f",FALSE)</f>
        <v>#VALUE!</v>
      </c>
      <c r="Z712" s="114" t="e">
        <f>_xll.qlCalendarAdvance(Calendar,Y712,0&amp;"D")</f>
        <v>#VALUE!</v>
      </c>
      <c r="AA712" s="115" t="e">
        <f ca="1"/>
        <v>#N/A</v>
      </c>
      <c r="AB712" s="151"/>
    </row>
    <row r="713" spans="23:28" x14ac:dyDescent="0.2">
      <c r="W713" s="152"/>
      <c r="X713" s="119" t="str">
        <f t="shared" si="18"/>
        <v>1w</v>
      </c>
      <c r="Y713" s="112" t="e">
        <f>_xll.qlCalendarAdvance(Calendar,Y712,X713,"f",FALSE)</f>
        <v>#VALUE!</v>
      </c>
      <c r="Z713" s="114" t="e">
        <f>_xll.qlCalendarAdvance(Calendar,Y713,0&amp;"D")</f>
        <v>#VALUE!</v>
      </c>
      <c r="AA713" s="115" t="e">
        <f ca="1"/>
        <v>#N/A</v>
      </c>
      <c r="AB713" s="151"/>
    </row>
    <row r="714" spans="23:28" x14ac:dyDescent="0.2">
      <c r="W714" s="152"/>
      <c r="X714" s="119" t="str">
        <f t="shared" si="18"/>
        <v>1w</v>
      </c>
      <c r="Y714" s="112" t="e">
        <f>_xll.qlCalendarAdvance(Calendar,Y713,X714,"f",FALSE)</f>
        <v>#VALUE!</v>
      </c>
      <c r="Z714" s="114" t="e">
        <f>_xll.qlCalendarAdvance(Calendar,Y714,0&amp;"D")</f>
        <v>#VALUE!</v>
      </c>
      <c r="AA714" s="115" t="e">
        <f ca="1"/>
        <v>#N/A</v>
      </c>
      <c r="AB714" s="151"/>
    </row>
    <row r="715" spans="23:28" x14ac:dyDescent="0.2">
      <c r="W715" s="152"/>
      <c r="X715" s="119" t="str">
        <f t="shared" si="18"/>
        <v>1w</v>
      </c>
      <c r="Y715" s="112" t="e">
        <f>_xll.qlCalendarAdvance(Calendar,Y714,X715,"f",FALSE)</f>
        <v>#VALUE!</v>
      </c>
      <c r="Z715" s="114" t="e">
        <f>_xll.qlCalendarAdvance(Calendar,Y715,0&amp;"D")</f>
        <v>#VALUE!</v>
      </c>
      <c r="AA715" s="115" t="e">
        <f ca="1"/>
        <v>#N/A</v>
      </c>
      <c r="AB715" s="151"/>
    </row>
    <row r="716" spans="23:28" x14ac:dyDescent="0.2">
      <c r="W716" s="152"/>
      <c r="X716" s="119" t="str">
        <f t="shared" si="18"/>
        <v>1w</v>
      </c>
      <c r="Y716" s="112" t="e">
        <f>_xll.qlCalendarAdvance(Calendar,Y715,X716,"f",FALSE)</f>
        <v>#VALUE!</v>
      </c>
      <c r="Z716" s="114" t="e">
        <f>_xll.qlCalendarAdvance(Calendar,Y716,0&amp;"D")</f>
        <v>#VALUE!</v>
      </c>
      <c r="AA716" s="115" t="e">
        <f ca="1"/>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f ca="1"/>
        <v>#N/A</v>
      </c>
      <c r="AB717" s="151"/>
    </row>
    <row r="718" spans="23:28" x14ac:dyDescent="0.2">
      <c r="W718" s="152"/>
      <c r="X718" s="119" t="str">
        <f t="shared" si="19"/>
        <v>1w</v>
      </c>
      <c r="Y718" s="112" t="e">
        <f>_xll.qlCalendarAdvance(Calendar,Y717,X718,"f",FALSE)</f>
        <v>#VALUE!</v>
      </c>
      <c r="Z718" s="114" t="e">
        <f>_xll.qlCalendarAdvance(Calendar,Y718,0&amp;"D")</f>
        <v>#VALUE!</v>
      </c>
      <c r="AA718" s="115" t="e">
        <f ca="1"/>
        <v>#N/A</v>
      </c>
      <c r="AB718" s="151"/>
    </row>
    <row r="719" spans="23:28" x14ac:dyDescent="0.2">
      <c r="W719" s="152"/>
      <c r="X719" s="119" t="str">
        <f t="shared" si="19"/>
        <v>1w</v>
      </c>
      <c r="Y719" s="112" t="e">
        <f>_xll.qlCalendarAdvance(Calendar,Y718,X719,"f",FALSE)</f>
        <v>#VALUE!</v>
      </c>
      <c r="Z719" s="114" t="e">
        <f>_xll.qlCalendarAdvance(Calendar,Y719,0&amp;"D")</f>
        <v>#VALUE!</v>
      </c>
      <c r="AA719" s="115" t="e">
        <f ca="1"/>
        <v>#N/A</v>
      </c>
      <c r="AB719" s="151"/>
    </row>
    <row r="720" spans="23:28" x14ac:dyDescent="0.2">
      <c r="W720" s="152"/>
      <c r="X720" s="119" t="str">
        <f t="shared" si="19"/>
        <v>1w</v>
      </c>
      <c r="Y720" s="112" t="e">
        <f>_xll.qlCalendarAdvance(Calendar,Y719,X720,"f",FALSE)</f>
        <v>#VALUE!</v>
      </c>
      <c r="Z720" s="114" t="e">
        <f>_xll.qlCalendarAdvance(Calendar,Y720,0&amp;"D")</f>
        <v>#VALUE!</v>
      </c>
      <c r="AA720" s="115" t="e">
        <f ca="1"/>
        <v>#N/A</v>
      </c>
      <c r="AB720" s="151"/>
    </row>
    <row r="721" spans="23:28" x14ac:dyDescent="0.2">
      <c r="W721" s="152"/>
      <c r="X721" s="119" t="str">
        <f t="shared" si="19"/>
        <v>1w</v>
      </c>
      <c r="Y721" s="112" t="e">
        <f>_xll.qlCalendarAdvance(Calendar,Y720,X721,"f",FALSE)</f>
        <v>#VALUE!</v>
      </c>
      <c r="Z721" s="114" t="e">
        <f>_xll.qlCalendarAdvance(Calendar,Y721,0&amp;"D")</f>
        <v>#VALUE!</v>
      </c>
      <c r="AA721" s="115" t="e">
        <f ca="1"/>
        <v>#N/A</v>
      </c>
      <c r="AB721" s="151"/>
    </row>
    <row r="722" spans="23:28" x14ac:dyDescent="0.2">
      <c r="W722" s="152"/>
      <c r="X722" s="119" t="str">
        <f t="shared" si="19"/>
        <v>1w</v>
      </c>
      <c r="Y722" s="112" t="e">
        <f>_xll.qlCalendarAdvance(Calendar,Y721,X722,"f",FALSE)</f>
        <v>#VALUE!</v>
      </c>
      <c r="Z722" s="114" t="e">
        <f>_xll.qlCalendarAdvance(Calendar,Y722,0&amp;"D")</f>
        <v>#VALUE!</v>
      </c>
      <c r="AA722" s="115" t="e">
        <f ca="1"/>
        <v>#N/A</v>
      </c>
      <c r="AB722" s="151"/>
    </row>
    <row r="723" spans="23:28" x14ac:dyDescent="0.2">
      <c r="W723" s="152"/>
      <c r="X723" s="119" t="str">
        <f t="shared" si="19"/>
        <v>1w</v>
      </c>
      <c r="Y723" s="112" t="e">
        <f>_xll.qlCalendarAdvance(Calendar,Y722,X723,"f",FALSE)</f>
        <v>#VALUE!</v>
      </c>
      <c r="Z723" s="114" t="e">
        <f>_xll.qlCalendarAdvance(Calendar,Y723,0&amp;"D")</f>
        <v>#VALUE!</v>
      </c>
      <c r="AA723" s="115" t="e">
        <f ca="1"/>
        <v>#N/A</v>
      </c>
      <c r="AB723" s="151"/>
    </row>
    <row r="724" spans="23:28" x14ac:dyDescent="0.2">
      <c r="W724" s="152"/>
      <c r="X724" s="119" t="str">
        <f t="shared" si="19"/>
        <v>1w</v>
      </c>
      <c r="Y724" s="112" t="e">
        <f>_xll.qlCalendarAdvance(Calendar,Y723,X724,"f",FALSE)</f>
        <v>#VALUE!</v>
      </c>
      <c r="Z724" s="114" t="e">
        <f>_xll.qlCalendarAdvance(Calendar,Y724,0&amp;"D")</f>
        <v>#VALUE!</v>
      </c>
      <c r="AA724" s="115" t="e">
        <f ca="1"/>
        <v>#N/A</v>
      </c>
      <c r="AB724" s="151"/>
    </row>
    <row r="725" spans="23:28" x14ac:dyDescent="0.2">
      <c r="W725" s="152"/>
      <c r="X725" s="119" t="str">
        <f t="shared" si="19"/>
        <v>1w</v>
      </c>
      <c r="Y725" s="112" t="e">
        <f>_xll.qlCalendarAdvance(Calendar,Y724,X725,"f",FALSE)</f>
        <v>#VALUE!</v>
      </c>
      <c r="Z725" s="114" t="e">
        <f>_xll.qlCalendarAdvance(Calendar,Y725,0&amp;"D")</f>
        <v>#VALUE!</v>
      </c>
      <c r="AA725" s="115" t="e">
        <f ca="1"/>
        <v>#N/A</v>
      </c>
      <c r="AB725" s="151"/>
    </row>
    <row r="726" spans="23:28" x14ac:dyDescent="0.2">
      <c r="W726" s="152"/>
      <c r="X726" s="119" t="str">
        <f t="shared" si="19"/>
        <v>1w</v>
      </c>
      <c r="Y726" s="112" t="e">
        <f>_xll.qlCalendarAdvance(Calendar,Y725,X726,"f",FALSE)</f>
        <v>#VALUE!</v>
      </c>
      <c r="Z726" s="114" t="e">
        <f>_xll.qlCalendarAdvance(Calendar,Y726,0&amp;"D")</f>
        <v>#VALUE!</v>
      </c>
      <c r="AA726" s="115" t="e">
        <f ca="1"/>
        <v>#N/A</v>
      </c>
      <c r="AB726" s="151"/>
    </row>
    <row r="727" spans="23:28" x14ac:dyDescent="0.2">
      <c r="W727" s="152"/>
      <c r="X727" s="119" t="str">
        <f t="shared" si="19"/>
        <v>1w</v>
      </c>
      <c r="Y727" s="112" t="e">
        <f>_xll.qlCalendarAdvance(Calendar,Y726,X727,"f",FALSE)</f>
        <v>#VALUE!</v>
      </c>
      <c r="Z727" s="114" t="e">
        <f>_xll.qlCalendarAdvance(Calendar,Y727,0&amp;"D")</f>
        <v>#VALUE!</v>
      </c>
      <c r="AA727" s="115" t="e">
        <f ca="1"/>
        <v>#N/A</v>
      </c>
      <c r="AB727" s="151"/>
    </row>
    <row r="728" spans="23:28" x14ac:dyDescent="0.2">
      <c r="W728" s="152"/>
      <c r="X728" s="119" t="str">
        <f t="shared" si="19"/>
        <v>1w</v>
      </c>
      <c r="Y728" s="112" t="e">
        <f>_xll.qlCalendarAdvance(Calendar,Y727,X728,"f",FALSE)</f>
        <v>#VALUE!</v>
      </c>
      <c r="Z728" s="114" t="e">
        <f>_xll.qlCalendarAdvance(Calendar,Y728,0&amp;"D")</f>
        <v>#VALUE!</v>
      </c>
      <c r="AA728" s="115" t="e">
        <f ca="1"/>
        <v>#N/A</v>
      </c>
      <c r="AB728" s="151"/>
    </row>
    <row r="729" spans="23:28" x14ac:dyDescent="0.2">
      <c r="W729" s="152"/>
      <c r="X729" s="119" t="str">
        <f t="shared" si="19"/>
        <v>1w</v>
      </c>
      <c r="Y729" s="112" t="e">
        <f>_xll.qlCalendarAdvance(Calendar,Y728,X729,"f",FALSE)</f>
        <v>#VALUE!</v>
      </c>
      <c r="Z729" s="114" t="e">
        <f>_xll.qlCalendarAdvance(Calendar,Y729,0&amp;"D")</f>
        <v>#VALUE!</v>
      </c>
      <c r="AA729" s="115" t="e">
        <f ca="1"/>
        <v>#N/A</v>
      </c>
      <c r="AB729" s="151"/>
    </row>
    <row r="730" spans="23:28" x14ac:dyDescent="0.2">
      <c r="W730" s="152"/>
      <c r="X730" s="119" t="str">
        <f t="shared" si="19"/>
        <v>1w</v>
      </c>
      <c r="Y730" s="112" t="e">
        <f>_xll.qlCalendarAdvance(Calendar,Y729,X730,"f",FALSE)</f>
        <v>#VALUE!</v>
      </c>
      <c r="Z730" s="114" t="e">
        <f>_xll.qlCalendarAdvance(Calendar,Y730,0&amp;"D")</f>
        <v>#VALUE!</v>
      </c>
      <c r="AA730" s="115" t="e">
        <f ca="1"/>
        <v>#N/A</v>
      </c>
      <c r="AB730" s="151"/>
    </row>
    <row r="731" spans="23:28" x14ac:dyDescent="0.2">
      <c r="W731" s="152"/>
      <c r="X731" s="119" t="str">
        <f t="shared" si="19"/>
        <v>1w</v>
      </c>
      <c r="Y731" s="112" t="e">
        <f>_xll.qlCalendarAdvance(Calendar,Y730,X731,"f",FALSE)</f>
        <v>#VALUE!</v>
      </c>
      <c r="Z731" s="114" t="e">
        <f>_xll.qlCalendarAdvance(Calendar,Y731,0&amp;"D")</f>
        <v>#VALUE!</v>
      </c>
      <c r="AA731" s="115" t="e">
        <f ca="1"/>
        <v>#N/A</v>
      </c>
      <c r="AB731" s="151"/>
    </row>
    <row r="732" spans="23:28" x14ac:dyDescent="0.2">
      <c r="W732" s="152"/>
      <c r="X732" s="119" t="str">
        <f t="shared" si="19"/>
        <v>1w</v>
      </c>
      <c r="Y732" s="112" t="e">
        <f>_xll.qlCalendarAdvance(Calendar,Y731,X732,"f",FALSE)</f>
        <v>#VALUE!</v>
      </c>
      <c r="Z732" s="114" t="e">
        <f>_xll.qlCalendarAdvance(Calendar,Y732,0&amp;"D")</f>
        <v>#VALUE!</v>
      </c>
      <c r="AA732" s="115" t="e">
        <f ca="1"/>
        <v>#N/A</v>
      </c>
      <c r="AB732" s="151"/>
    </row>
    <row r="733" spans="23:28" x14ac:dyDescent="0.2">
      <c r="W733" s="152"/>
      <c r="X733" s="119" t="str">
        <f t="shared" si="19"/>
        <v>1w</v>
      </c>
      <c r="Y733" s="112" t="e">
        <f>_xll.qlCalendarAdvance(Calendar,Y732,X733,"f",FALSE)</f>
        <v>#VALUE!</v>
      </c>
      <c r="Z733" s="114" t="e">
        <f>_xll.qlCalendarAdvance(Calendar,Y733,0&amp;"D")</f>
        <v>#VALUE!</v>
      </c>
      <c r="AA733" s="115" t="e">
        <f ca="1"/>
        <v>#N/A</v>
      </c>
      <c r="AB733" s="151"/>
    </row>
    <row r="734" spans="23:28" x14ac:dyDescent="0.2">
      <c r="W734" s="152"/>
      <c r="X734" s="119" t="str">
        <f t="shared" si="19"/>
        <v>1w</v>
      </c>
      <c r="Y734" s="112" t="e">
        <f>_xll.qlCalendarAdvance(Calendar,Y733,X734,"f",FALSE)</f>
        <v>#VALUE!</v>
      </c>
      <c r="Z734" s="114" t="e">
        <f>_xll.qlCalendarAdvance(Calendar,Y734,0&amp;"D")</f>
        <v>#VALUE!</v>
      </c>
      <c r="AA734" s="115" t="e">
        <f ca="1"/>
        <v>#N/A</v>
      </c>
      <c r="AB734" s="151"/>
    </row>
    <row r="735" spans="23:28" x14ac:dyDescent="0.2">
      <c r="W735" s="152"/>
      <c r="X735" s="119" t="str">
        <f t="shared" si="19"/>
        <v>1w</v>
      </c>
      <c r="Y735" s="112" t="e">
        <f>_xll.qlCalendarAdvance(Calendar,Y734,X735,"f",FALSE)</f>
        <v>#VALUE!</v>
      </c>
      <c r="Z735" s="114" t="e">
        <f>_xll.qlCalendarAdvance(Calendar,Y735,0&amp;"D")</f>
        <v>#VALUE!</v>
      </c>
      <c r="AA735" s="115" t="e">
        <f ca="1"/>
        <v>#N/A</v>
      </c>
      <c r="AB735" s="151"/>
    </row>
    <row r="736" spans="23:28" x14ac:dyDescent="0.2">
      <c r="W736" s="152"/>
      <c r="X736" s="119" t="str">
        <f t="shared" si="19"/>
        <v>1w</v>
      </c>
      <c r="Y736" s="112" t="e">
        <f>_xll.qlCalendarAdvance(Calendar,Y735,X736,"f",FALSE)</f>
        <v>#VALUE!</v>
      </c>
      <c r="Z736" s="114" t="e">
        <f>_xll.qlCalendarAdvance(Calendar,Y736,0&amp;"D")</f>
        <v>#VALUE!</v>
      </c>
      <c r="AA736" s="115" t="e">
        <f ca="1"/>
        <v>#N/A</v>
      </c>
      <c r="AB736" s="151"/>
    </row>
    <row r="737" spans="23:28" x14ac:dyDescent="0.2">
      <c r="W737" s="152"/>
      <c r="X737" s="119" t="str">
        <f t="shared" si="19"/>
        <v>1w</v>
      </c>
      <c r="Y737" s="112" t="e">
        <f>_xll.qlCalendarAdvance(Calendar,Y736,X737,"f",FALSE)</f>
        <v>#VALUE!</v>
      </c>
      <c r="Z737" s="114" t="e">
        <f>_xll.qlCalendarAdvance(Calendar,Y737,0&amp;"D")</f>
        <v>#VALUE!</v>
      </c>
      <c r="AA737" s="115" t="e">
        <f ca="1"/>
        <v>#N/A</v>
      </c>
      <c r="AB737" s="151"/>
    </row>
    <row r="738" spans="23:28" x14ac:dyDescent="0.2">
      <c r="W738" s="152"/>
      <c r="X738" s="119" t="str">
        <f t="shared" si="19"/>
        <v>1w</v>
      </c>
      <c r="Y738" s="112" t="e">
        <f>_xll.qlCalendarAdvance(Calendar,Y737,X738,"f",FALSE)</f>
        <v>#VALUE!</v>
      </c>
      <c r="Z738" s="114" t="e">
        <f>_xll.qlCalendarAdvance(Calendar,Y738,0&amp;"D")</f>
        <v>#VALUE!</v>
      </c>
      <c r="AA738" s="115" t="e">
        <f ca="1"/>
        <v>#N/A</v>
      </c>
      <c r="AB738" s="151"/>
    </row>
    <row r="739" spans="23:28" x14ac:dyDescent="0.2">
      <c r="W739" s="152"/>
      <c r="X739" s="119" t="str">
        <f t="shared" si="19"/>
        <v>1w</v>
      </c>
      <c r="Y739" s="112" t="e">
        <f>_xll.qlCalendarAdvance(Calendar,Y738,X739,"f",FALSE)</f>
        <v>#VALUE!</v>
      </c>
      <c r="Z739" s="114" t="e">
        <f>_xll.qlCalendarAdvance(Calendar,Y739,0&amp;"D")</f>
        <v>#VALUE!</v>
      </c>
      <c r="AA739" s="115" t="e">
        <f ca="1"/>
        <v>#N/A</v>
      </c>
      <c r="AB739" s="151"/>
    </row>
    <row r="740" spans="23:28" x14ac:dyDescent="0.2">
      <c r="W740" s="152"/>
      <c r="X740" s="119" t="str">
        <f t="shared" si="19"/>
        <v>1w</v>
      </c>
      <c r="Y740" s="112" t="e">
        <f>_xll.qlCalendarAdvance(Calendar,Y739,X740,"f",FALSE)</f>
        <v>#VALUE!</v>
      </c>
      <c r="Z740" s="114" t="e">
        <f>_xll.qlCalendarAdvance(Calendar,Y740,0&amp;"D")</f>
        <v>#VALUE!</v>
      </c>
      <c r="AA740" s="115" t="e">
        <f ca="1"/>
        <v>#N/A</v>
      </c>
      <c r="AB740" s="151"/>
    </row>
    <row r="741" spans="23:28" x14ac:dyDescent="0.2">
      <c r="W741" s="152"/>
      <c r="X741" s="119" t="str">
        <f t="shared" si="19"/>
        <v>1w</v>
      </c>
      <c r="Y741" s="112" t="e">
        <f>_xll.qlCalendarAdvance(Calendar,Y740,X741,"f",FALSE)</f>
        <v>#VALUE!</v>
      </c>
      <c r="Z741" s="114" t="e">
        <f>_xll.qlCalendarAdvance(Calendar,Y741,0&amp;"D")</f>
        <v>#VALUE!</v>
      </c>
      <c r="AA741" s="115" t="e">
        <f ca="1"/>
        <v>#N/A</v>
      </c>
      <c r="AB741" s="151"/>
    </row>
    <row r="742" spans="23:28" x14ac:dyDescent="0.2">
      <c r="W742" s="152"/>
      <c r="X742" s="119" t="str">
        <f t="shared" si="19"/>
        <v>1w</v>
      </c>
      <c r="Y742" s="112" t="e">
        <f>_xll.qlCalendarAdvance(Calendar,Y741,X742,"f",FALSE)</f>
        <v>#VALUE!</v>
      </c>
      <c r="Z742" s="114" t="e">
        <f>_xll.qlCalendarAdvance(Calendar,Y742,0&amp;"D")</f>
        <v>#VALUE!</v>
      </c>
      <c r="AA742" s="115" t="e">
        <f ca="1"/>
        <v>#N/A</v>
      </c>
      <c r="AB742" s="151"/>
    </row>
    <row r="743" spans="23:28" x14ac:dyDescent="0.2">
      <c r="W743" s="152"/>
      <c r="X743" s="119" t="str">
        <f t="shared" si="19"/>
        <v>1w</v>
      </c>
      <c r="Y743" s="112" t="e">
        <f>_xll.qlCalendarAdvance(Calendar,Y742,X743,"f",FALSE)</f>
        <v>#VALUE!</v>
      </c>
      <c r="Z743" s="114" t="e">
        <f>_xll.qlCalendarAdvance(Calendar,Y743,0&amp;"D")</f>
        <v>#VALUE!</v>
      </c>
      <c r="AA743" s="115" t="e">
        <f ca="1"/>
        <v>#N/A</v>
      </c>
      <c r="AB743" s="151"/>
    </row>
    <row r="744" spans="23:28" x14ac:dyDescent="0.2">
      <c r="W744" s="152"/>
      <c r="X744" s="119" t="str">
        <f t="shared" si="19"/>
        <v>1w</v>
      </c>
      <c r="Y744" s="112" t="e">
        <f>_xll.qlCalendarAdvance(Calendar,Y743,X744,"f",FALSE)</f>
        <v>#VALUE!</v>
      </c>
      <c r="Z744" s="114" t="e">
        <f>_xll.qlCalendarAdvance(Calendar,Y744,0&amp;"D")</f>
        <v>#VALUE!</v>
      </c>
      <c r="AA744" s="115" t="e">
        <f ca="1"/>
        <v>#N/A</v>
      </c>
      <c r="AB744" s="151"/>
    </row>
    <row r="745" spans="23:28" x14ac:dyDescent="0.2">
      <c r="W745" s="152"/>
      <c r="X745" s="119" t="str">
        <f t="shared" si="19"/>
        <v>1w</v>
      </c>
      <c r="Y745" s="112" t="e">
        <f>_xll.qlCalendarAdvance(Calendar,Y744,X745,"f",FALSE)</f>
        <v>#VALUE!</v>
      </c>
      <c r="Z745" s="114" t="e">
        <f>_xll.qlCalendarAdvance(Calendar,Y745,0&amp;"D")</f>
        <v>#VALUE!</v>
      </c>
      <c r="AA745" s="115" t="e">
        <f ca="1"/>
        <v>#N/A</v>
      </c>
      <c r="AB745" s="151"/>
    </row>
    <row r="746" spans="23:28" x14ac:dyDescent="0.2">
      <c r="W746" s="152"/>
      <c r="X746" s="119" t="str">
        <f t="shared" si="19"/>
        <v>1w</v>
      </c>
      <c r="Y746" s="112" t="e">
        <f>_xll.qlCalendarAdvance(Calendar,Y745,X746,"f",FALSE)</f>
        <v>#VALUE!</v>
      </c>
      <c r="Z746" s="114" t="e">
        <f>_xll.qlCalendarAdvance(Calendar,Y746,0&amp;"D")</f>
        <v>#VALUE!</v>
      </c>
      <c r="AA746" s="115" t="e">
        <f ca="1"/>
        <v>#N/A</v>
      </c>
      <c r="AB746" s="151"/>
    </row>
    <row r="747" spans="23:28" x14ac:dyDescent="0.2">
      <c r="W747" s="152"/>
      <c r="X747" s="119" t="str">
        <f t="shared" si="19"/>
        <v>1w</v>
      </c>
      <c r="Y747" s="112" t="e">
        <f>_xll.qlCalendarAdvance(Calendar,Y746,X747,"f",FALSE)</f>
        <v>#VALUE!</v>
      </c>
      <c r="Z747" s="114" t="e">
        <f>_xll.qlCalendarAdvance(Calendar,Y747,0&amp;"D")</f>
        <v>#VALUE!</v>
      </c>
      <c r="AA747" s="115" t="e">
        <f ca="1"/>
        <v>#N/A</v>
      </c>
      <c r="AB747" s="151"/>
    </row>
    <row r="748" spans="23:28" x14ac:dyDescent="0.2">
      <c r="W748" s="152"/>
      <c r="X748" s="119" t="str">
        <f t="shared" si="19"/>
        <v>1w</v>
      </c>
      <c r="Y748" s="112" t="e">
        <f>_xll.qlCalendarAdvance(Calendar,Y747,X748,"f",FALSE)</f>
        <v>#VALUE!</v>
      </c>
      <c r="Z748" s="114" t="e">
        <f>_xll.qlCalendarAdvance(Calendar,Y748,0&amp;"D")</f>
        <v>#VALUE!</v>
      </c>
      <c r="AA748" s="115" t="e">
        <f ca="1"/>
        <v>#N/A</v>
      </c>
      <c r="AB748" s="151"/>
    </row>
    <row r="749" spans="23:28" x14ac:dyDescent="0.2">
      <c r="W749" s="152"/>
      <c r="X749" s="119" t="str">
        <f t="shared" si="19"/>
        <v>1w</v>
      </c>
      <c r="Y749" s="112" t="e">
        <f>_xll.qlCalendarAdvance(Calendar,Y748,X749,"f",FALSE)</f>
        <v>#VALUE!</v>
      </c>
      <c r="Z749" s="114" t="e">
        <f>_xll.qlCalendarAdvance(Calendar,Y749,0&amp;"D")</f>
        <v>#VALUE!</v>
      </c>
      <c r="AA749" s="115" t="e">
        <f ca="1"/>
        <v>#N/A</v>
      </c>
      <c r="AB749" s="151"/>
    </row>
    <row r="750" spans="23:28" x14ac:dyDescent="0.2">
      <c r="W750" s="152"/>
      <c r="X750" s="119" t="str">
        <f t="shared" si="19"/>
        <v>1w</v>
      </c>
      <c r="Y750" s="112" t="e">
        <f>_xll.qlCalendarAdvance(Calendar,Y749,X750,"f",FALSE)</f>
        <v>#VALUE!</v>
      </c>
      <c r="Z750" s="114" t="e">
        <f>_xll.qlCalendarAdvance(Calendar,Y750,0&amp;"D")</f>
        <v>#VALUE!</v>
      </c>
      <c r="AA750" s="115" t="e">
        <f ca="1"/>
        <v>#N/A</v>
      </c>
      <c r="AB750" s="151"/>
    </row>
    <row r="751" spans="23:28" x14ac:dyDescent="0.2">
      <c r="W751" s="152"/>
      <c r="X751" s="119" t="str">
        <f t="shared" si="19"/>
        <v>1w</v>
      </c>
      <c r="Y751" s="112" t="e">
        <f>_xll.qlCalendarAdvance(Calendar,Y750,X751,"f",FALSE)</f>
        <v>#VALUE!</v>
      </c>
      <c r="Z751" s="114" t="e">
        <f>_xll.qlCalendarAdvance(Calendar,Y751,0&amp;"D")</f>
        <v>#VALUE!</v>
      </c>
      <c r="AA751" s="115" t="e">
        <f ca="1"/>
        <v>#N/A</v>
      </c>
      <c r="AB751" s="151"/>
    </row>
    <row r="752" spans="23:28" x14ac:dyDescent="0.2">
      <c r="W752" s="152"/>
      <c r="X752" s="119" t="str">
        <f t="shared" si="19"/>
        <v>1w</v>
      </c>
      <c r="Y752" s="112" t="e">
        <f>_xll.qlCalendarAdvance(Calendar,Y751,X752,"f",FALSE)</f>
        <v>#VALUE!</v>
      </c>
      <c r="Z752" s="114" t="e">
        <f>_xll.qlCalendarAdvance(Calendar,Y752,0&amp;"D")</f>
        <v>#VALUE!</v>
      </c>
      <c r="AA752" s="115" t="e">
        <f ca="1"/>
        <v>#N/A</v>
      </c>
      <c r="AB752" s="151"/>
    </row>
    <row r="753" spans="23:28" x14ac:dyDescent="0.2">
      <c r="W753" s="152"/>
      <c r="X753" s="119" t="str">
        <f t="shared" si="19"/>
        <v>1w</v>
      </c>
      <c r="Y753" s="112" t="e">
        <f>_xll.qlCalendarAdvance(Calendar,Y752,X753,"f",FALSE)</f>
        <v>#VALUE!</v>
      </c>
      <c r="Z753" s="114" t="e">
        <f>_xll.qlCalendarAdvance(Calendar,Y753,0&amp;"D")</f>
        <v>#VALUE!</v>
      </c>
      <c r="AA753" s="115" t="e">
        <f ca="1"/>
        <v>#N/A</v>
      </c>
      <c r="AB753" s="151"/>
    </row>
    <row r="754" spans="23:28" x14ac:dyDescent="0.2">
      <c r="W754" s="152"/>
      <c r="X754" s="119" t="str">
        <f t="shared" si="19"/>
        <v>1w</v>
      </c>
      <c r="Y754" s="112" t="e">
        <f>_xll.qlCalendarAdvance(Calendar,Y753,X754,"f",FALSE)</f>
        <v>#VALUE!</v>
      </c>
      <c r="Z754" s="114" t="e">
        <f>_xll.qlCalendarAdvance(Calendar,Y754,0&amp;"D")</f>
        <v>#VALUE!</v>
      </c>
      <c r="AA754" s="115" t="e">
        <f ca="1"/>
        <v>#N/A</v>
      </c>
      <c r="AB754" s="151"/>
    </row>
    <row r="755" spans="23:28" x14ac:dyDescent="0.2">
      <c r="W755" s="152"/>
      <c r="X755" s="119" t="str">
        <f t="shared" si="19"/>
        <v>1w</v>
      </c>
      <c r="Y755" s="112" t="e">
        <f>_xll.qlCalendarAdvance(Calendar,Y754,X755,"f",FALSE)</f>
        <v>#VALUE!</v>
      </c>
      <c r="Z755" s="114" t="e">
        <f>_xll.qlCalendarAdvance(Calendar,Y755,0&amp;"D")</f>
        <v>#VALUE!</v>
      </c>
      <c r="AA755" s="115" t="e">
        <f ca="1"/>
        <v>#N/A</v>
      </c>
      <c r="AB755" s="151"/>
    </row>
    <row r="756" spans="23:28" x14ac:dyDescent="0.2">
      <c r="W756" s="152"/>
      <c r="X756" s="119" t="str">
        <f t="shared" si="19"/>
        <v>1w</v>
      </c>
      <c r="Y756" s="112" t="e">
        <f>_xll.qlCalendarAdvance(Calendar,Y755,X756,"f",FALSE)</f>
        <v>#VALUE!</v>
      </c>
      <c r="Z756" s="114" t="e">
        <f>_xll.qlCalendarAdvance(Calendar,Y756,0&amp;"D")</f>
        <v>#VALUE!</v>
      </c>
      <c r="AA756" s="115" t="e">
        <f ca="1"/>
        <v>#N/A</v>
      </c>
      <c r="AB756" s="151"/>
    </row>
    <row r="757" spans="23:28" x14ac:dyDescent="0.2">
      <c r="W757" s="152"/>
      <c r="X757" s="119" t="str">
        <f t="shared" si="19"/>
        <v>1w</v>
      </c>
      <c r="Y757" s="112" t="e">
        <f>_xll.qlCalendarAdvance(Calendar,Y756,X757,"f",FALSE)</f>
        <v>#VALUE!</v>
      </c>
      <c r="Z757" s="114" t="e">
        <f>_xll.qlCalendarAdvance(Calendar,Y757,0&amp;"D")</f>
        <v>#VALUE!</v>
      </c>
      <c r="AA757" s="115" t="e">
        <f ca="1"/>
        <v>#N/A</v>
      </c>
      <c r="AB757" s="151"/>
    </row>
    <row r="758" spans="23:28" x14ac:dyDescent="0.2">
      <c r="W758" s="152"/>
      <c r="X758" s="119" t="str">
        <f t="shared" si="19"/>
        <v>1w</v>
      </c>
      <c r="Y758" s="112" t="e">
        <f>_xll.qlCalendarAdvance(Calendar,Y757,X758,"f",FALSE)</f>
        <v>#VALUE!</v>
      </c>
      <c r="Z758" s="114" t="e">
        <f>_xll.qlCalendarAdvance(Calendar,Y758,0&amp;"D")</f>
        <v>#VALUE!</v>
      </c>
      <c r="AA758" s="115" t="e">
        <f ca="1"/>
        <v>#N/A</v>
      </c>
      <c r="AB758" s="151"/>
    </row>
    <row r="759" spans="23:28" x14ac:dyDescent="0.2">
      <c r="W759" s="152"/>
      <c r="X759" s="119" t="str">
        <f t="shared" si="19"/>
        <v>1w</v>
      </c>
      <c r="Y759" s="112" t="e">
        <f>_xll.qlCalendarAdvance(Calendar,Y758,X759,"f",FALSE)</f>
        <v>#VALUE!</v>
      </c>
      <c r="Z759" s="114" t="e">
        <f>_xll.qlCalendarAdvance(Calendar,Y759,0&amp;"D")</f>
        <v>#VALUE!</v>
      </c>
      <c r="AA759" s="115" t="e">
        <f ca="1"/>
        <v>#N/A</v>
      </c>
      <c r="AB759" s="151"/>
    </row>
    <row r="760" spans="23:28" x14ac:dyDescent="0.2">
      <c r="W760" s="152"/>
      <c r="X760" s="119" t="str">
        <f t="shared" si="19"/>
        <v>1w</v>
      </c>
      <c r="Y760" s="112" t="e">
        <f>_xll.qlCalendarAdvance(Calendar,Y759,X760,"f",FALSE)</f>
        <v>#VALUE!</v>
      </c>
      <c r="Z760" s="114" t="e">
        <f>_xll.qlCalendarAdvance(Calendar,Y760,0&amp;"D")</f>
        <v>#VALUE!</v>
      </c>
      <c r="AA760" s="115" t="e">
        <f ca="1"/>
        <v>#N/A</v>
      </c>
      <c r="AB760" s="151"/>
    </row>
    <row r="761" spans="23:28" x14ac:dyDescent="0.2">
      <c r="W761" s="152"/>
      <c r="X761" s="119" t="str">
        <f t="shared" si="19"/>
        <v>1w</v>
      </c>
      <c r="Y761" s="112" t="e">
        <f>_xll.qlCalendarAdvance(Calendar,Y760,X761,"f",FALSE)</f>
        <v>#VALUE!</v>
      </c>
      <c r="Z761" s="114" t="e">
        <f>_xll.qlCalendarAdvance(Calendar,Y761,0&amp;"D")</f>
        <v>#VALUE!</v>
      </c>
      <c r="AA761" s="115" t="e">
        <f ca="1"/>
        <v>#N/A</v>
      </c>
      <c r="AB761" s="151"/>
    </row>
    <row r="762" spans="23:28" x14ac:dyDescent="0.2">
      <c r="W762" s="152"/>
      <c r="X762" s="119" t="str">
        <f t="shared" si="19"/>
        <v>1w</v>
      </c>
      <c r="Y762" s="112" t="e">
        <f>_xll.qlCalendarAdvance(Calendar,Y761,X762,"f",FALSE)</f>
        <v>#VALUE!</v>
      </c>
      <c r="Z762" s="114" t="e">
        <f>_xll.qlCalendarAdvance(Calendar,Y762,0&amp;"D")</f>
        <v>#VALUE!</v>
      </c>
      <c r="AA762" s="115" t="e">
        <f ca="1"/>
        <v>#N/A</v>
      </c>
      <c r="AB762" s="151"/>
    </row>
    <row r="763" spans="23:28" x14ac:dyDescent="0.2">
      <c r="W763" s="152"/>
      <c r="X763" s="119" t="str">
        <f t="shared" si="19"/>
        <v>1w</v>
      </c>
      <c r="Y763" s="112" t="e">
        <f>_xll.qlCalendarAdvance(Calendar,Y762,X763,"f",FALSE)</f>
        <v>#VALUE!</v>
      </c>
      <c r="Z763" s="114" t="e">
        <f>_xll.qlCalendarAdvance(Calendar,Y763,0&amp;"D")</f>
        <v>#VALUE!</v>
      </c>
      <c r="AA763" s="115" t="e">
        <f ca="1"/>
        <v>#N/A</v>
      </c>
      <c r="AB763" s="151"/>
    </row>
    <row r="764" spans="23:28" x14ac:dyDescent="0.2">
      <c r="W764" s="152"/>
      <c r="X764" s="119" t="str">
        <f t="shared" si="19"/>
        <v>1w</v>
      </c>
      <c r="Y764" s="112" t="e">
        <f>_xll.qlCalendarAdvance(Calendar,Y763,X764,"f",FALSE)</f>
        <v>#VALUE!</v>
      </c>
      <c r="Z764" s="114" t="e">
        <f>_xll.qlCalendarAdvance(Calendar,Y764,0&amp;"D")</f>
        <v>#VALUE!</v>
      </c>
      <c r="AA764" s="115" t="e">
        <f ca="1"/>
        <v>#N/A</v>
      </c>
      <c r="AB764" s="151"/>
    </row>
    <row r="765" spans="23:28" x14ac:dyDescent="0.2">
      <c r="W765" s="152"/>
      <c r="X765" s="119" t="str">
        <f t="shared" si="19"/>
        <v>1w</v>
      </c>
      <c r="Y765" s="112" t="e">
        <f>_xll.qlCalendarAdvance(Calendar,Y764,X765,"f",FALSE)</f>
        <v>#VALUE!</v>
      </c>
      <c r="Z765" s="114" t="e">
        <f>_xll.qlCalendarAdvance(Calendar,Y765,0&amp;"D")</f>
        <v>#VALUE!</v>
      </c>
      <c r="AA765" s="115" t="e">
        <f ca="1"/>
        <v>#N/A</v>
      </c>
      <c r="AB765" s="151"/>
    </row>
    <row r="766" spans="23:28" x14ac:dyDescent="0.2">
      <c r="W766" s="152"/>
      <c r="X766" s="119" t="str">
        <f t="shared" si="19"/>
        <v>1w</v>
      </c>
      <c r="Y766" s="112" t="e">
        <f>_xll.qlCalendarAdvance(Calendar,Y765,X766,"f",FALSE)</f>
        <v>#VALUE!</v>
      </c>
      <c r="Z766" s="114" t="e">
        <f>_xll.qlCalendarAdvance(Calendar,Y766,0&amp;"D")</f>
        <v>#VALUE!</v>
      </c>
      <c r="AA766" s="115" t="e">
        <f ca="1"/>
        <v>#N/A</v>
      </c>
      <c r="AB766" s="151"/>
    </row>
    <row r="767" spans="23:28" x14ac:dyDescent="0.2">
      <c r="W767" s="152"/>
      <c r="X767" s="119" t="str">
        <f t="shared" si="19"/>
        <v>1w</v>
      </c>
      <c r="Y767" s="112" t="e">
        <f>_xll.qlCalendarAdvance(Calendar,Y766,X767,"f",FALSE)</f>
        <v>#VALUE!</v>
      </c>
      <c r="Z767" s="114" t="e">
        <f>_xll.qlCalendarAdvance(Calendar,Y767,0&amp;"D")</f>
        <v>#VALUE!</v>
      </c>
      <c r="AA767" s="115" t="e">
        <f ca="1"/>
        <v>#N/A</v>
      </c>
      <c r="AB767" s="151"/>
    </row>
    <row r="768" spans="23:28" x14ac:dyDescent="0.2">
      <c r="W768" s="152"/>
      <c r="X768" s="119" t="str">
        <f t="shared" si="19"/>
        <v>1w</v>
      </c>
      <c r="Y768" s="112" t="e">
        <f>_xll.qlCalendarAdvance(Calendar,Y767,X768,"f",FALSE)</f>
        <v>#VALUE!</v>
      </c>
      <c r="Z768" s="114" t="e">
        <f>_xll.qlCalendarAdvance(Calendar,Y768,0&amp;"D")</f>
        <v>#VALUE!</v>
      </c>
      <c r="AA768" s="115" t="e">
        <f ca="1"/>
        <v>#N/A</v>
      </c>
      <c r="AB768" s="151"/>
    </row>
    <row r="769" spans="23:28" x14ac:dyDescent="0.2">
      <c r="W769" s="152"/>
      <c r="X769" s="119" t="str">
        <f t="shared" si="19"/>
        <v>1w</v>
      </c>
      <c r="Y769" s="112" t="e">
        <f>_xll.qlCalendarAdvance(Calendar,Y768,X769,"f",FALSE)</f>
        <v>#VALUE!</v>
      </c>
      <c r="Z769" s="114" t="e">
        <f>_xll.qlCalendarAdvance(Calendar,Y769,0&amp;"D")</f>
        <v>#VALUE!</v>
      </c>
      <c r="AA769" s="115" t="e">
        <f ca="1"/>
        <v>#N/A</v>
      </c>
      <c r="AB769" s="151"/>
    </row>
    <row r="770" spans="23:28" x14ac:dyDescent="0.2">
      <c r="W770" s="152"/>
      <c r="X770" s="119" t="str">
        <f t="shared" si="19"/>
        <v>1w</v>
      </c>
      <c r="Y770" s="112" t="e">
        <f>_xll.qlCalendarAdvance(Calendar,Y769,X770,"f",FALSE)</f>
        <v>#VALUE!</v>
      </c>
      <c r="Z770" s="114" t="e">
        <f>_xll.qlCalendarAdvance(Calendar,Y770,0&amp;"D")</f>
        <v>#VALUE!</v>
      </c>
      <c r="AA770" s="115" t="e">
        <f ca="1"/>
        <v>#N/A</v>
      </c>
      <c r="AB770" s="151"/>
    </row>
    <row r="771" spans="23:28" x14ac:dyDescent="0.2">
      <c r="W771" s="152"/>
      <c r="X771" s="119" t="str">
        <f t="shared" si="19"/>
        <v>1w</v>
      </c>
      <c r="Y771" s="112" t="e">
        <f>_xll.qlCalendarAdvance(Calendar,Y770,X771,"f",FALSE)</f>
        <v>#VALUE!</v>
      </c>
      <c r="Z771" s="114" t="e">
        <f>_xll.qlCalendarAdvance(Calendar,Y771,0&amp;"D")</f>
        <v>#VALUE!</v>
      </c>
      <c r="AA771" s="115" t="e">
        <f ca="1"/>
        <v>#N/A</v>
      </c>
      <c r="AB771" s="151"/>
    </row>
    <row r="772" spans="23:28" x14ac:dyDescent="0.2">
      <c r="W772" s="152"/>
      <c r="X772" s="119" t="str">
        <f t="shared" si="19"/>
        <v>1w</v>
      </c>
      <c r="Y772" s="112" t="e">
        <f>_xll.qlCalendarAdvance(Calendar,Y771,X772,"f",FALSE)</f>
        <v>#VALUE!</v>
      </c>
      <c r="Z772" s="114" t="e">
        <f>_xll.qlCalendarAdvance(Calendar,Y772,0&amp;"D")</f>
        <v>#VALUE!</v>
      </c>
      <c r="AA772" s="115" t="e">
        <f ca="1"/>
        <v>#N/A</v>
      </c>
      <c r="AB772" s="151"/>
    </row>
    <row r="773" spans="23:28" x14ac:dyDescent="0.2">
      <c r="W773" s="152"/>
      <c r="X773" s="119" t="str">
        <f t="shared" si="19"/>
        <v>1w</v>
      </c>
      <c r="Y773" s="112" t="e">
        <f>_xll.qlCalendarAdvance(Calendar,Y772,X773,"f",FALSE)</f>
        <v>#VALUE!</v>
      </c>
      <c r="Z773" s="114" t="e">
        <f>_xll.qlCalendarAdvance(Calendar,Y773,0&amp;"D")</f>
        <v>#VALUE!</v>
      </c>
      <c r="AA773" s="115" t="e">
        <f ca="1"/>
        <v>#N/A</v>
      </c>
      <c r="AB773" s="151"/>
    </row>
    <row r="774" spans="23:28" x14ac:dyDescent="0.2">
      <c r="W774" s="152"/>
      <c r="X774" s="119" t="str">
        <f t="shared" si="19"/>
        <v>1w</v>
      </c>
      <c r="Y774" s="112" t="e">
        <f>_xll.qlCalendarAdvance(Calendar,Y773,X774,"f",FALSE)</f>
        <v>#VALUE!</v>
      </c>
      <c r="Z774" s="114" t="e">
        <f>_xll.qlCalendarAdvance(Calendar,Y774,0&amp;"D")</f>
        <v>#VALUE!</v>
      </c>
      <c r="AA774" s="115" t="e">
        <f ca="1"/>
        <v>#N/A</v>
      </c>
      <c r="AB774" s="151"/>
    </row>
    <row r="775" spans="23:28" x14ac:dyDescent="0.2">
      <c r="W775" s="152"/>
      <c r="X775" s="119" t="str">
        <f t="shared" si="19"/>
        <v>1w</v>
      </c>
      <c r="Y775" s="112" t="e">
        <f>_xll.qlCalendarAdvance(Calendar,Y774,X775,"f",FALSE)</f>
        <v>#VALUE!</v>
      </c>
      <c r="Z775" s="114" t="e">
        <f>_xll.qlCalendarAdvance(Calendar,Y775,0&amp;"D")</f>
        <v>#VALUE!</v>
      </c>
      <c r="AA775" s="115" t="e">
        <f ca="1"/>
        <v>#N/A</v>
      </c>
      <c r="AB775" s="151"/>
    </row>
    <row r="776" spans="23:28" x14ac:dyDescent="0.2">
      <c r="W776" s="152"/>
      <c r="X776" s="119" t="str">
        <f t="shared" si="19"/>
        <v>1w</v>
      </c>
      <c r="Y776" s="112" t="e">
        <f>_xll.qlCalendarAdvance(Calendar,Y775,X776,"f",FALSE)</f>
        <v>#VALUE!</v>
      </c>
      <c r="Z776" s="114" t="e">
        <f>_xll.qlCalendarAdvance(Calendar,Y776,0&amp;"D")</f>
        <v>#VALUE!</v>
      </c>
      <c r="AA776" s="115" t="e">
        <f ca="1"/>
        <v>#N/A</v>
      </c>
      <c r="AB776" s="151"/>
    </row>
    <row r="777" spans="23:28" x14ac:dyDescent="0.2">
      <c r="W777" s="152"/>
      <c r="X777" s="119" t="str">
        <f t="shared" si="19"/>
        <v>1w</v>
      </c>
      <c r="Y777" s="112" t="e">
        <f>_xll.qlCalendarAdvance(Calendar,Y776,X777,"f",FALSE)</f>
        <v>#VALUE!</v>
      </c>
      <c r="Z777" s="114" t="e">
        <f>_xll.qlCalendarAdvance(Calendar,Y777,0&amp;"D")</f>
        <v>#VALUE!</v>
      </c>
      <c r="AA777" s="115" t="e">
        <f ca="1"/>
        <v>#N/A</v>
      </c>
      <c r="AB777" s="151"/>
    </row>
    <row r="778" spans="23:28" x14ac:dyDescent="0.2">
      <c r="W778" s="152"/>
      <c r="X778" s="119" t="str">
        <f t="shared" si="19"/>
        <v>1w</v>
      </c>
      <c r="Y778" s="112" t="e">
        <f>_xll.qlCalendarAdvance(Calendar,Y777,X778,"f",FALSE)</f>
        <v>#VALUE!</v>
      </c>
      <c r="Z778" s="114" t="e">
        <f>_xll.qlCalendarAdvance(Calendar,Y778,0&amp;"D")</f>
        <v>#VALUE!</v>
      </c>
      <c r="AA778" s="115" t="e">
        <f ca="1"/>
        <v>#N/A</v>
      </c>
      <c r="AB778" s="151"/>
    </row>
    <row r="779" spans="23:28" x14ac:dyDescent="0.2">
      <c r="W779" s="152"/>
      <c r="X779" s="119" t="str">
        <f t="shared" si="19"/>
        <v>1w</v>
      </c>
      <c r="Y779" s="112" t="e">
        <f>_xll.qlCalendarAdvance(Calendar,Y778,X779,"f",FALSE)</f>
        <v>#VALUE!</v>
      </c>
      <c r="Z779" s="114" t="e">
        <f>_xll.qlCalendarAdvance(Calendar,Y779,0&amp;"D")</f>
        <v>#VALUE!</v>
      </c>
      <c r="AA779" s="115" t="e">
        <f ca="1"/>
        <v>#N/A</v>
      </c>
      <c r="AB779" s="151"/>
    </row>
    <row r="780" spans="23:28" x14ac:dyDescent="0.2">
      <c r="W780" s="152"/>
      <c r="X780" s="119" t="str">
        <f t="shared" si="19"/>
        <v>1w</v>
      </c>
      <c r="Y780" s="112" t="e">
        <f>_xll.qlCalendarAdvance(Calendar,Y779,X780,"f",FALSE)</f>
        <v>#VALUE!</v>
      </c>
      <c r="Z780" s="114" t="e">
        <f>_xll.qlCalendarAdvance(Calendar,Y780,0&amp;"D")</f>
        <v>#VALUE!</v>
      </c>
      <c r="AA780" s="115" t="e">
        <f ca="1"/>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f ca="1"/>
        <v>#N/A</v>
      </c>
      <c r="AB781" s="151"/>
    </row>
    <row r="782" spans="23:28" x14ac:dyDescent="0.2">
      <c r="W782" s="152"/>
      <c r="X782" s="119" t="str">
        <f t="shared" si="20"/>
        <v>1w</v>
      </c>
      <c r="Y782" s="112" t="e">
        <f>_xll.qlCalendarAdvance(Calendar,Y781,X782,"f",FALSE)</f>
        <v>#VALUE!</v>
      </c>
      <c r="Z782" s="114" t="e">
        <f>_xll.qlCalendarAdvance(Calendar,Y782,0&amp;"D")</f>
        <v>#VALUE!</v>
      </c>
      <c r="AA782" s="115" t="e">
        <f ca="1"/>
        <v>#N/A</v>
      </c>
      <c r="AB782" s="151"/>
    </row>
    <row r="783" spans="23:28" x14ac:dyDescent="0.2">
      <c r="W783" s="152"/>
      <c r="X783" s="119" t="str">
        <f t="shared" si="20"/>
        <v>1w</v>
      </c>
      <c r="Y783" s="112" t="e">
        <f>_xll.qlCalendarAdvance(Calendar,Y782,X783,"f",FALSE)</f>
        <v>#VALUE!</v>
      </c>
      <c r="Z783" s="114" t="e">
        <f>_xll.qlCalendarAdvance(Calendar,Y783,0&amp;"D")</f>
        <v>#VALUE!</v>
      </c>
      <c r="AA783" s="115" t="e">
        <f ca="1"/>
        <v>#N/A</v>
      </c>
      <c r="AB783" s="151"/>
    </row>
    <row r="784" spans="23:28" x14ac:dyDescent="0.2">
      <c r="W784" s="152"/>
      <c r="X784" s="119" t="str">
        <f t="shared" si="20"/>
        <v>1w</v>
      </c>
      <c r="Y784" s="112" t="e">
        <f>_xll.qlCalendarAdvance(Calendar,Y783,X784,"f",FALSE)</f>
        <v>#VALUE!</v>
      </c>
      <c r="Z784" s="114" t="e">
        <f>_xll.qlCalendarAdvance(Calendar,Y784,0&amp;"D")</f>
        <v>#VALUE!</v>
      </c>
      <c r="AA784" s="115" t="e">
        <f ca="1"/>
        <v>#N/A</v>
      </c>
      <c r="AB784" s="151"/>
    </row>
    <row r="785" spans="23:28" x14ac:dyDescent="0.2">
      <c r="W785" s="152"/>
      <c r="X785" s="119" t="str">
        <f t="shared" si="20"/>
        <v>1w</v>
      </c>
      <c r="Y785" s="112" t="e">
        <f>_xll.qlCalendarAdvance(Calendar,Y784,X785,"f",FALSE)</f>
        <v>#VALUE!</v>
      </c>
      <c r="Z785" s="114" t="e">
        <f>_xll.qlCalendarAdvance(Calendar,Y785,0&amp;"D")</f>
        <v>#VALUE!</v>
      </c>
      <c r="AA785" s="115" t="e">
        <f ca="1"/>
        <v>#N/A</v>
      </c>
      <c r="AB785" s="151"/>
    </row>
    <row r="786" spans="23:28" x14ac:dyDescent="0.2">
      <c r="W786" s="152"/>
      <c r="X786" s="119" t="str">
        <f t="shared" si="20"/>
        <v>1w</v>
      </c>
      <c r="Y786" s="112" t="e">
        <f>_xll.qlCalendarAdvance(Calendar,Y785,X786,"f",FALSE)</f>
        <v>#VALUE!</v>
      </c>
      <c r="Z786" s="114" t="e">
        <f>_xll.qlCalendarAdvance(Calendar,Y786,0&amp;"D")</f>
        <v>#VALUE!</v>
      </c>
      <c r="AA786" s="115" t="e">
        <f ca="1"/>
        <v>#N/A</v>
      </c>
      <c r="AB786" s="151"/>
    </row>
    <row r="787" spans="23:28" x14ac:dyDescent="0.2">
      <c r="W787" s="152"/>
      <c r="X787" s="119" t="str">
        <f t="shared" si="20"/>
        <v>1w</v>
      </c>
      <c r="Y787" s="112" t="e">
        <f>_xll.qlCalendarAdvance(Calendar,Y786,X787,"f",FALSE)</f>
        <v>#VALUE!</v>
      </c>
      <c r="Z787" s="114" t="e">
        <f>_xll.qlCalendarAdvance(Calendar,Y787,0&amp;"D")</f>
        <v>#VALUE!</v>
      </c>
      <c r="AA787" s="115" t="e">
        <f ca="1"/>
        <v>#N/A</v>
      </c>
      <c r="AB787" s="151"/>
    </row>
    <row r="788" spans="23:28" x14ac:dyDescent="0.2">
      <c r="W788" s="152"/>
      <c r="X788" s="119" t="str">
        <f t="shared" si="20"/>
        <v>1w</v>
      </c>
      <c r="Y788" s="112" t="e">
        <f>_xll.qlCalendarAdvance(Calendar,Y787,X788,"f",FALSE)</f>
        <v>#VALUE!</v>
      </c>
      <c r="Z788" s="114" t="e">
        <f>_xll.qlCalendarAdvance(Calendar,Y788,0&amp;"D")</f>
        <v>#VALUE!</v>
      </c>
      <c r="AA788" s="115" t="e">
        <f ca="1"/>
        <v>#N/A</v>
      </c>
      <c r="AB788" s="151"/>
    </row>
    <row r="789" spans="23:28" x14ac:dyDescent="0.2">
      <c r="W789" s="152"/>
      <c r="X789" s="119" t="str">
        <f t="shared" si="20"/>
        <v>1w</v>
      </c>
      <c r="Y789" s="112" t="e">
        <f>_xll.qlCalendarAdvance(Calendar,Y788,X789,"f",FALSE)</f>
        <v>#VALUE!</v>
      </c>
      <c r="Z789" s="114" t="e">
        <f>_xll.qlCalendarAdvance(Calendar,Y789,0&amp;"D")</f>
        <v>#VALUE!</v>
      </c>
      <c r="AA789" s="115" t="e">
        <f ca="1"/>
        <v>#N/A</v>
      </c>
      <c r="AB789" s="151"/>
    </row>
    <row r="790" spans="23:28" x14ac:dyDescent="0.2">
      <c r="W790" s="152"/>
      <c r="X790" s="119" t="str">
        <f t="shared" si="20"/>
        <v>1w</v>
      </c>
      <c r="Y790" s="112" t="e">
        <f>_xll.qlCalendarAdvance(Calendar,Y789,X790,"f",FALSE)</f>
        <v>#VALUE!</v>
      </c>
      <c r="Z790" s="114" t="e">
        <f>_xll.qlCalendarAdvance(Calendar,Y790,0&amp;"D")</f>
        <v>#VALUE!</v>
      </c>
      <c r="AA790" s="115" t="e">
        <f ca="1"/>
        <v>#N/A</v>
      </c>
      <c r="AB790" s="151"/>
    </row>
    <row r="791" spans="23:28" x14ac:dyDescent="0.2">
      <c r="W791" s="152"/>
      <c r="X791" s="119" t="str">
        <f t="shared" si="20"/>
        <v>1w</v>
      </c>
      <c r="Y791" s="112" t="e">
        <f>_xll.qlCalendarAdvance(Calendar,Y790,X791,"f",FALSE)</f>
        <v>#VALUE!</v>
      </c>
      <c r="Z791" s="114" t="e">
        <f>_xll.qlCalendarAdvance(Calendar,Y791,0&amp;"D")</f>
        <v>#VALUE!</v>
      </c>
      <c r="AA791" s="115" t="e">
        <f ca="1"/>
        <v>#N/A</v>
      </c>
      <c r="AB791" s="151"/>
    </row>
    <row r="792" spans="23:28" x14ac:dyDescent="0.2">
      <c r="W792" s="152"/>
      <c r="X792" s="119" t="str">
        <f t="shared" si="20"/>
        <v>1w</v>
      </c>
      <c r="Y792" s="112" t="e">
        <f>_xll.qlCalendarAdvance(Calendar,Y791,X792,"f",FALSE)</f>
        <v>#VALUE!</v>
      </c>
      <c r="Z792" s="114" t="e">
        <f>_xll.qlCalendarAdvance(Calendar,Y792,0&amp;"D")</f>
        <v>#VALUE!</v>
      </c>
      <c r="AA792" s="115" t="e">
        <f ca="1"/>
        <v>#N/A</v>
      </c>
      <c r="AB792" s="151"/>
    </row>
    <row r="793" spans="23:28" x14ac:dyDescent="0.2">
      <c r="W793" s="152"/>
      <c r="X793" s="119" t="str">
        <f t="shared" si="20"/>
        <v>1w</v>
      </c>
      <c r="Y793" s="112" t="e">
        <f>_xll.qlCalendarAdvance(Calendar,Y792,X793,"f",FALSE)</f>
        <v>#VALUE!</v>
      </c>
      <c r="Z793" s="114" t="e">
        <f>_xll.qlCalendarAdvance(Calendar,Y793,0&amp;"D")</f>
        <v>#VALUE!</v>
      </c>
      <c r="AA793" s="115" t="e">
        <f ca="1"/>
        <v>#N/A</v>
      </c>
      <c r="AB793" s="151"/>
    </row>
    <row r="794" spans="23:28" x14ac:dyDescent="0.2">
      <c r="W794" s="152"/>
      <c r="X794" s="119" t="str">
        <f t="shared" si="20"/>
        <v>1w</v>
      </c>
      <c r="Y794" s="112" t="e">
        <f>_xll.qlCalendarAdvance(Calendar,Y793,X794,"f",FALSE)</f>
        <v>#VALUE!</v>
      </c>
      <c r="Z794" s="114" t="e">
        <f>_xll.qlCalendarAdvance(Calendar,Y794,0&amp;"D")</f>
        <v>#VALUE!</v>
      </c>
      <c r="AA794" s="115" t="e">
        <f ca="1"/>
        <v>#N/A</v>
      </c>
      <c r="AB794" s="151"/>
    </row>
    <row r="795" spans="23:28" x14ac:dyDescent="0.2">
      <c r="W795" s="152"/>
      <c r="X795" s="119" t="str">
        <f t="shared" si="20"/>
        <v>1w</v>
      </c>
      <c r="Y795" s="112" t="e">
        <f>_xll.qlCalendarAdvance(Calendar,Y794,X795,"f",FALSE)</f>
        <v>#VALUE!</v>
      </c>
      <c r="Z795" s="114" t="e">
        <f>_xll.qlCalendarAdvance(Calendar,Y795,0&amp;"D")</f>
        <v>#VALUE!</v>
      </c>
      <c r="AA795" s="115" t="e">
        <f ca="1"/>
        <v>#N/A</v>
      </c>
      <c r="AB795" s="151"/>
    </row>
    <row r="796" spans="23:28" x14ac:dyDescent="0.2">
      <c r="W796" s="152"/>
      <c r="X796" s="119" t="str">
        <f t="shared" si="20"/>
        <v>1w</v>
      </c>
      <c r="Y796" s="112" t="e">
        <f>_xll.qlCalendarAdvance(Calendar,Y795,X796,"f",FALSE)</f>
        <v>#VALUE!</v>
      </c>
      <c r="Z796" s="114" t="e">
        <f>_xll.qlCalendarAdvance(Calendar,Y796,0&amp;"D")</f>
        <v>#VALUE!</v>
      </c>
      <c r="AA796" s="115" t="e">
        <f ca="1"/>
        <v>#N/A</v>
      </c>
      <c r="AB796" s="151"/>
    </row>
    <row r="797" spans="23:28" x14ac:dyDescent="0.2">
      <c r="W797" s="152"/>
      <c r="X797" s="119" t="str">
        <f t="shared" si="20"/>
        <v>1w</v>
      </c>
      <c r="Y797" s="112" t="e">
        <f>_xll.qlCalendarAdvance(Calendar,Y796,X797,"f",FALSE)</f>
        <v>#VALUE!</v>
      </c>
      <c r="Z797" s="114" t="e">
        <f>_xll.qlCalendarAdvance(Calendar,Y797,0&amp;"D")</f>
        <v>#VALUE!</v>
      </c>
      <c r="AA797" s="115" t="e">
        <f ca="1"/>
        <v>#N/A</v>
      </c>
      <c r="AB797" s="151"/>
    </row>
    <row r="798" spans="23:28" x14ac:dyDescent="0.2">
      <c r="W798" s="152"/>
      <c r="X798" s="119" t="str">
        <f t="shared" si="20"/>
        <v>1w</v>
      </c>
      <c r="Y798" s="112" t="e">
        <f>_xll.qlCalendarAdvance(Calendar,Y797,X798,"f",FALSE)</f>
        <v>#VALUE!</v>
      </c>
      <c r="Z798" s="114" t="e">
        <f>_xll.qlCalendarAdvance(Calendar,Y798,0&amp;"D")</f>
        <v>#VALUE!</v>
      </c>
      <c r="AA798" s="115" t="e">
        <f ca="1"/>
        <v>#N/A</v>
      </c>
      <c r="AB798" s="151"/>
    </row>
    <row r="799" spans="23:28" x14ac:dyDescent="0.2">
      <c r="W799" s="152"/>
      <c r="X799" s="119" t="str">
        <f t="shared" si="20"/>
        <v>1w</v>
      </c>
      <c r="Y799" s="112" t="e">
        <f>_xll.qlCalendarAdvance(Calendar,Y798,X799,"f",FALSE)</f>
        <v>#VALUE!</v>
      </c>
      <c r="Z799" s="114" t="e">
        <f>_xll.qlCalendarAdvance(Calendar,Y799,0&amp;"D")</f>
        <v>#VALUE!</v>
      </c>
      <c r="AA799" s="115" t="e">
        <f ca="1"/>
        <v>#N/A</v>
      </c>
      <c r="AB799" s="151"/>
    </row>
    <row r="800" spans="23:28" x14ac:dyDescent="0.2">
      <c r="W800" s="152"/>
      <c r="X800" s="119" t="str">
        <f t="shared" si="20"/>
        <v>1w</v>
      </c>
      <c r="Y800" s="112" t="e">
        <f>_xll.qlCalendarAdvance(Calendar,Y799,X800,"f",FALSE)</f>
        <v>#VALUE!</v>
      </c>
      <c r="Z800" s="114" t="e">
        <f>_xll.qlCalendarAdvance(Calendar,Y800,0&amp;"D")</f>
        <v>#VALUE!</v>
      </c>
      <c r="AA800" s="115" t="e">
        <f ca="1"/>
        <v>#N/A</v>
      </c>
      <c r="AB800" s="151"/>
    </row>
    <row r="801" spans="23:28" x14ac:dyDescent="0.2">
      <c r="W801" s="152"/>
      <c r="X801" s="119" t="str">
        <f t="shared" si="20"/>
        <v>1w</v>
      </c>
      <c r="Y801" s="112" t="e">
        <f>_xll.qlCalendarAdvance(Calendar,Y800,X801,"f",FALSE)</f>
        <v>#VALUE!</v>
      </c>
      <c r="Z801" s="114" t="e">
        <f>_xll.qlCalendarAdvance(Calendar,Y801,0&amp;"D")</f>
        <v>#VALUE!</v>
      </c>
      <c r="AA801" s="115" t="e">
        <f ca="1"/>
        <v>#N/A</v>
      </c>
      <c r="AB801" s="151"/>
    </row>
    <row r="802" spans="23:28" x14ac:dyDescent="0.2">
      <c r="W802" s="152"/>
      <c r="X802" s="119" t="str">
        <f t="shared" si="20"/>
        <v>1w</v>
      </c>
      <c r="Y802" s="112" t="e">
        <f>_xll.qlCalendarAdvance(Calendar,Y801,X802,"f",FALSE)</f>
        <v>#VALUE!</v>
      </c>
      <c r="Z802" s="114" t="e">
        <f>_xll.qlCalendarAdvance(Calendar,Y802,0&amp;"D")</f>
        <v>#VALUE!</v>
      </c>
      <c r="AA802" s="115" t="e">
        <f ca="1"/>
        <v>#N/A</v>
      </c>
      <c r="AB802" s="151"/>
    </row>
    <row r="803" spans="23:28" x14ac:dyDescent="0.2">
      <c r="W803" s="152"/>
      <c r="X803" s="119" t="str">
        <f t="shared" si="20"/>
        <v>1w</v>
      </c>
      <c r="Y803" s="112" t="e">
        <f>_xll.qlCalendarAdvance(Calendar,Y802,X803,"f",FALSE)</f>
        <v>#VALUE!</v>
      </c>
      <c r="Z803" s="114" t="e">
        <f>_xll.qlCalendarAdvance(Calendar,Y803,0&amp;"D")</f>
        <v>#VALUE!</v>
      </c>
      <c r="AA803" s="115" t="e">
        <f ca="1"/>
        <v>#N/A</v>
      </c>
      <c r="AB803" s="151"/>
    </row>
    <row r="804" spans="23:28" x14ac:dyDescent="0.2">
      <c r="W804" s="152"/>
      <c r="X804" s="119" t="str">
        <f t="shared" si="20"/>
        <v>1w</v>
      </c>
      <c r="Y804" s="112" t="e">
        <f>_xll.qlCalendarAdvance(Calendar,Y803,X804,"f",FALSE)</f>
        <v>#VALUE!</v>
      </c>
      <c r="Z804" s="114" t="e">
        <f>_xll.qlCalendarAdvance(Calendar,Y804,0&amp;"D")</f>
        <v>#VALUE!</v>
      </c>
      <c r="AA804" s="115" t="e">
        <f ca="1"/>
        <v>#N/A</v>
      </c>
      <c r="AB804" s="151"/>
    </row>
    <row r="805" spans="23:28" x14ac:dyDescent="0.2">
      <c r="W805" s="152"/>
      <c r="X805" s="119" t="str">
        <f t="shared" si="20"/>
        <v>1w</v>
      </c>
      <c r="Y805" s="112" t="e">
        <f>_xll.qlCalendarAdvance(Calendar,Y804,X805,"f",FALSE)</f>
        <v>#VALUE!</v>
      </c>
      <c r="Z805" s="114" t="e">
        <f>_xll.qlCalendarAdvance(Calendar,Y805,0&amp;"D")</f>
        <v>#VALUE!</v>
      </c>
      <c r="AA805" s="115" t="e">
        <f ca="1"/>
        <v>#N/A</v>
      </c>
      <c r="AB805" s="151"/>
    </row>
    <row r="806" spans="23:28" x14ac:dyDescent="0.2">
      <c r="W806" s="152"/>
      <c r="X806" s="119" t="str">
        <f t="shared" si="20"/>
        <v>1w</v>
      </c>
      <c r="Y806" s="112" t="e">
        <f>_xll.qlCalendarAdvance(Calendar,Y805,X806,"f",FALSE)</f>
        <v>#VALUE!</v>
      </c>
      <c r="Z806" s="114" t="e">
        <f>_xll.qlCalendarAdvance(Calendar,Y806,0&amp;"D")</f>
        <v>#VALUE!</v>
      </c>
      <c r="AA806" s="115" t="e">
        <f ca="1"/>
        <v>#N/A</v>
      </c>
      <c r="AB806" s="151"/>
    </row>
    <row r="807" spans="23:28" x14ac:dyDescent="0.2">
      <c r="W807" s="152"/>
      <c r="X807" s="119" t="str">
        <f t="shared" si="20"/>
        <v>1w</v>
      </c>
      <c r="Y807" s="112" t="e">
        <f>_xll.qlCalendarAdvance(Calendar,Y806,X807,"f",FALSE)</f>
        <v>#VALUE!</v>
      </c>
      <c r="Z807" s="114" t="e">
        <f>_xll.qlCalendarAdvance(Calendar,Y807,0&amp;"D")</f>
        <v>#VALUE!</v>
      </c>
      <c r="AA807" s="115" t="e">
        <f ca="1"/>
        <v>#N/A</v>
      </c>
      <c r="AB807" s="151"/>
    </row>
    <row r="808" spans="23:28" x14ac:dyDescent="0.2">
      <c r="W808" s="152"/>
      <c r="X808" s="119" t="str">
        <f t="shared" si="20"/>
        <v>1w</v>
      </c>
      <c r="Y808" s="112" t="e">
        <f>_xll.qlCalendarAdvance(Calendar,Y807,X808,"f",FALSE)</f>
        <v>#VALUE!</v>
      </c>
      <c r="Z808" s="114" t="e">
        <f>_xll.qlCalendarAdvance(Calendar,Y808,0&amp;"D")</f>
        <v>#VALUE!</v>
      </c>
      <c r="AA808" s="115" t="e">
        <f ca="1"/>
        <v>#N/A</v>
      </c>
      <c r="AB808" s="151"/>
    </row>
    <row r="809" spans="23:28" x14ac:dyDescent="0.2">
      <c r="W809" s="152"/>
      <c r="X809" s="119" t="str">
        <f t="shared" si="20"/>
        <v>1w</v>
      </c>
      <c r="Y809" s="112" t="e">
        <f>_xll.qlCalendarAdvance(Calendar,Y808,X809,"f",FALSE)</f>
        <v>#VALUE!</v>
      </c>
      <c r="Z809" s="114" t="e">
        <f>_xll.qlCalendarAdvance(Calendar,Y809,0&amp;"D")</f>
        <v>#VALUE!</v>
      </c>
      <c r="AA809" s="115" t="e">
        <f ca="1"/>
        <v>#N/A</v>
      </c>
      <c r="AB809" s="151"/>
    </row>
    <row r="810" spans="23:28" x14ac:dyDescent="0.2">
      <c r="W810" s="152"/>
      <c r="X810" s="119" t="str">
        <f t="shared" si="20"/>
        <v>1w</v>
      </c>
      <c r="Y810" s="112" t="e">
        <f>_xll.qlCalendarAdvance(Calendar,Y809,X810,"f",FALSE)</f>
        <v>#VALUE!</v>
      </c>
      <c r="Z810" s="114" t="e">
        <f>_xll.qlCalendarAdvance(Calendar,Y810,0&amp;"D")</f>
        <v>#VALUE!</v>
      </c>
      <c r="AA810" s="115" t="e">
        <f ca="1"/>
        <v>#N/A</v>
      </c>
      <c r="AB810" s="151"/>
    </row>
    <row r="811" spans="23:28" x14ac:dyDescent="0.2">
      <c r="W811" s="152"/>
      <c r="X811" s="119" t="str">
        <f t="shared" si="20"/>
        <v>1w</v>
      </c>
      <c r="Y811" s="112" t="e">
        <f>_xll.qlCalendarAdvance(Calendar,Y810,X811,"f",FALSE)</f>
        <v>#VALUE!</v>
      </c>
      <c r="Z811" s="114" t="e">
        <f>_xll.qlCalendarAdvance(Calendar,Y811,0&amp;"D")</f>
        <v>#VALUE!</v>
      </c>
      <c r="AA811" s="115" t="e">
        <f ca="1"/>
        <v>#N/A</v>
      </c>
      <c r="AB811" s="151"/>
    </row>
    <row r="812" spans="23:28" x14ac:dyDescent="0.2">
      <c r="W812" s="152"/>
      <c r="X812" s="119" t="str">
        <f t="shared" si="20"/>
        <v>1w</v>
      </c>
      <c r="Y812" s="112" t="e">
        <f>_xll.qlCalendarAdvance(Calendar,Y811,X812,"f",FALSE)</f>
        <v>#VALUE!</v>
      </c>
      <c r="Z812" s="114" t="e">
        <f>_xll.qlCalendarAdvance(Calendar,Y812,0&amp;"D")</f>
        <v>#VALUE!</v>
      </c>
      <c r="AA812" s="115" t="e">
        <f ca="1"/>
        <v>#N/A</v>
      </c>
      <c r="AB812" s="151"/>
    </row>
    <row r="813" spans="23:28" x14ac:dyDescent="0.2">
      <c r="W813" s="152"/>
      <c r="X813" s="119" t="str">
        <f t="shared" si="20"/>
        <v>1w</v>
      </c>
      <c r="Y813" s="112" t="e">
        <f>_xll.qlCalendarAdvance(Calendar,Y812,X813,"f",FALSE)</f>
        <v>#VALUE!</v>
      </c>
      <c r="Z813" s="114" t="e">
        <f>_xll.qlCalendarAdvance(Calendar,Y813,0&amp;"D")</f>
        <v>#VALUE!</v>
      </c>
      <c r="AA813" s="115" t="e">
        <f ca="1"/>
        <v>#N/A</v>
      </c>
      <c r="AB813" s="151"/>
    </row>
    <row r="814" spans="23:28" x14ac:dyDescent="0.2">
      <c r="W814" s="152"/>
      <c r="X814" s="119" t="str">
        <f t="shared" si="20"/>
        <v>1w</v>
      </c>
      <c r="Y814" s="112" t="e">
        <f>_xll.qlCalendarAdvance(Calendar,Y813,X814,"f",FALSE)</f>
        <v>#VALUE!</v>
      </c>
      <c r="Z814" s="114" t="e">
        <f>_xll.qlCalendarAdvance(Calendar,Y814,0&amp;"D")</f>
        <v>#VALUE!</v>
      </c>
      <c r="AA814" s="115" t="e">
        <f ca="1"/>
        <v>#N/A</v>
      </c>
      <c r="AB814" s="151"/>
    </row>
    <row r="815" spans="23:28" x14ac:dyDescent="0.2">
      <c r="W815" s="152"/>
      <c r="X815" s="119" t="str">
        <f t="shared" si="20"/>
        <v>1w</v>
      </c>
      <c r="Y815" s="112" t="e">
        <f>_xll.qlCalendarAdvance(Calendar,Y814,X815,"f",FALSE)</f>
        <v>#VALUE!</v>
      </c>
      <c r="Z815" s="114" t="e">
        <f>_xll.qlCalendarAdvance(Calendar,Y815,0&amp;"D")</f>
        <v>#VALUE!</v>
      </c>
      <c r="AA815" s="115" t="e">
        <f ca="1"/>
        <v>#N/A</v>
      </c>
      <c r="AB815" s="151"/>
    </row>
    <row r="816" spans="23:28" x14ac:dyDescent="0.2">
      <c r="W816" s="152"/>
      <c r="X816" s="119" t="str">
        <f t="shared" si="20"/>
        <v>1w</v>
      </c>
      <c r="Y816" s="112" t="e">
        <f>_xll.qlCalendarAdvance(Calendar,Y815,X816,"f",FALSE)</f>
        <v>#VALUE!</v>
      </c>
      <c r="Z816" s="114" t="e">
        <f>_xll.qlCalendarAdvance(Calendar,Y816,0&amp;"D")</f>
        <v>#VALUE!</v>
      </c>
      <c r="AA816" s="115" t="e">
        <f ca="1"/>
        <v>#N/A</v>
      </c>
      <c r="AB816" s="151"/>
    </row>
    <row r="817" spans="23:28" x14ac:dyDescent="0.2">
      <c r="W817" s="152"/>
      <c r="X817" s="119" t="str">
        <f t="shared" si="20"/>
        <v>1w</v>
      </c>
      <c r="Y817" s="112" t="e">
        <f>_xll.qlCalendarAdvance(Calendar,Y816,X817,"f",FALSE)</f>
        <v>#VALUE!</v>
      </c>
      <c r="Z817" s="114" t="e">
        <f>_xll.qlCalendarAdvance(Calendar,Y817,0&amp;"D")</f>
        <v>#VALUE!</v>
      </c>
      <c r="AA817" s="115" t="e">
        <f ca="1"/>
        <v>#N/A</v>
      </c>
      <c r="AB817" s="151"/>
    </row>
    <row r="818" spans="23:28" x14ac:dyDescent="0.2">
      <c r="W818" s="152"/>
      <c r="X818" s="119" t="str">
        <f t="shared" si="20"/>
        <v>1w</v>
      </c>
      <c r="Y818" s="112" t="e">
        <f>_xll.qlCalendarAdvance(Calendar,Y817,X818,"f",FALSE)</f>
        <v>#VALUE!</v>
      </c>
      <c r="Z818" s="114" t="e">
        <f>_xll.qlCalendarAdvance(Calendar,Y818,0&amp;"D")</f>
        <v>#VALUE!</v>
      </c>
      <c r="AA818" s="115" t="e">
        <f ca="1"/>
        <v>#N/A</v>
      </c>
      <c r="AB818" s="151"/>
    </row>
    <row r="819" spans="23:28" x14ac:dyDescent="0.2">
      <c r="W819" s="152"/>
      <c r="X819" s="119" t="str">
        <f t="shared" si="20"/>
        <v>1w</v>
      </c>
      <c r="Y819" s="112" t="e">
        <f>_xll.qlCalendarAdvance(Calendar,Y818,X819,"f",FALSE)</f>
        <v>#VALUE!</v>
      </c>
      <c r="Z819" s="114" t="e">
        <f>_xll.qlCalendarAdvance(Calendar,Y819,0&amp;"D")</f>
        <v>#VALUE!</v>
      </c>
      <c r="AA819" s="115" t="e">
        <f ca="1"/>
        <v>#N/A</v>
      </c>
      <c r="AB819" s="151"/>
    </row>
    <row r="820" spans="23:28" x14ac:dyDescent="0.2">
      <c r="W820" s="152"/>
      <c r="X820" s="119" t="str">
        <f t="shared" si="20"/>
        <v>1w</v>
      </c>
      <c r="Y820" s="112" t="e">
        <f>_xll.qlCalendarAdvance(Calendar,Y819,X820,"f",FALSE)</f>
        <v>#VALUE!</v>
      </c>
      <c r="Z820" s="114" t="e">
        <f>_xll.qlCalendarAdvance(Calendar,Y820,0&amp;"D")</f>
        <v>#VALUE!</v>
      </c>
      <c r="AA820" s="115" t="e">
        <f ca="1"/>
        <v>#N/A</v>
      </c>
      <c r="AB820" s="151"/>
    </row>
    <row r="821" spans="23:28" x14ac:dyDescent="0.2">
      <c r="W821" s="152"/>
      <c r="X821" s="119" t="str">
        <f t="shared" si="20"/>
        <v>1w</v>
      </c>
      <c r="Y821" s="112" t="e">
        <f>_xll.qlCalendarAdvance(Calendar,Y820,X821,"f",FALSE)</f>
        <v>#VALUE!</v>
      </c>
      <c r="Z821" s="114" t="e">
        <f>_xll.qlCalendarAdvance(Calendar,Y821,0&amp;"D")</f>
        <v>#VALUE!</v>
      </c>
      <c r="AA821" s="115" t="e">
        <f ca="1"/>
        <v>#N/A</v>
      </c>
      <c r="AB821" s="151"/>
    </row>
    <row r="822" spans="23:28" x14ac:dyDescent="0.2">
      <c r="W822" s="152"/>
      <c r="X822" s="119" t="str">
        <f t="shared" si="20"/>
        <v>1w</v>
      </c>
      <c r="Y822" s="112" t="e">
        <f>_xll.qlCalendarAdvance(Calendar,Y821,X822,"f",FALSE)</f>
        <v>#VALUE!</v>
      </c>
      <c r="Z822" s="114" t="e">
        <f>_xll.qlCalendarAdvance(Calendar,Y822,0&amp;"D")</f>
        <v>#VALUE!</v>
      </c>
      <c r="AA822" s="115" t="e">
        <f ca="1"/>
        <v>#N/A</v>
      </c>
      <c r="AB822" s="151"/>
    </row>
    <row r="823" spans="23:28" x14ac:dyDescent="0.2">
      <c r="W823" s="152"/>
      <c r="X823" s="119" t="str">
        <f t="shared" si="20"/>
        <v>1w</v>
      </c>
      <c r="Y823" s="112" t="e">
        <f>_xll.qlCalendarAdvance(Calendar,Y822,X823,"f",FALSE)</f>
        <v>#VALUE!</v>
      </c>
      <c r="Z823" s="114" t="e">
        <f>_xll.qlCalendarAdvance(Calendar,Y823,0&amp;"D")</f>
        <v>#VALUE!</v>
      </c>
      <c r="AA823" s="115" t="e">
        <f ca="1"/>
        <v>#N/A</v>
      </c>
      <c r="AB823" s="151"/>
    </row>
    <row r="824" spans="23:28" x14ac:dyDescent="0.2">
      <c r="W824" s="152"/>
      <c r="X824" s="119" t="str">
        <f t="shared" si="20"/>
        <v>1w</v>
      </c>
      <c r="Y824" s="112" t="e">
        <f>_xll.qlCalendarAdvance(Calendar,Y823,X824,"f",FALSE)</f>
        <v>#VALUE!</v>
      </c>
      <c r="Z824" s="114" t="e">
        <f>_xll.qlCalendarAdvance(Calendar,Y824,0&amp;"D")</f>
        <v>#VALUE!</v>
      </c>
      <c r="AA824" s="115" t="e">
        <f ca="1"/>
        <v>#N/A</v>
      </c>
      <c r="AB824" s="151"/>
    </row>
    <row r="825" spans="23:28" x14ac:dyDescent="0.2">
      <c r="W825" s="152"/>
      <c r="X825" s="119" t="str">
        <f t="shared" si="20"/>
        <v>1w</v>
      </c>
      <c r="Y825" s="112" t="e">
        <f>_xll.qlCalendarAdvance(Calendar,Y824,X825,"f",FALSE)</f>
        <v>#VALUE!</v>
      </c>
      <c r="Z825" s="114" t="e">
        <f>_xll.qlCalendarAdvance(Calendar,Y825,0&amp;"D")</f>
        <v>#VALUE!</v>
      </c>
      <c r="AA825" s="115" t="e">
        <f ca="1"/>
        <v>#N/A</v>
      </c>
      <c r="AB825" s="151"/>
    </row>
    <row r="826" spans="23:28" x14ac:dyDescent="0.2">
      <c r="W826" s="152"/>
      <c r="X826" s="119" t="str">
        <f t="shared" si="20"/>
        <v>1w</v>
      </c>
      <c r="Y826" s="112" t="e">
        <f>_xll.qlCalendarAdvance(Calendar,Y825,X826,"f",FALSE)</f>
        <v>#VALUE!</v>
      </c>
      <c r="Z826" s="114" t="e">
        <f>_xll.qlCalendarAdvance(Calendar,Y826,0&amp;"D")</f>
        <v>#VALUE!</v>
      </c>
      <c r="AA826" s="115" t="e">
        <f ca="1"/>
        <v>#N/A</v>
      </c>
      <c r="AB826" s="151"/>
    </row>
    <row r="827" spans="23:28" x14ac:dyDescent="0.2">
      <c r="W827" s="152"/>
      <c r="X827" s="119" t="str">
        <f t="shared" si="20"/>
        <v>1w</v>
      </c>
      <c r="Y827" s="112" t="e">
        <f>_xll.qlCalendarAdvance(Calendar,Y826,X827,"f",FALSE)</f>
        <v>#VALUE!</v>
      </c>
      <c r="Z827" s="114" t="e">
        <f>_xll.qlCalendarAdvance(Calendar,Y827,0&amp;"D")</f>
        <v>#VALUE!</v>
      </c>
      <c r="AA827" s="115" t="e">
        <f ca="1"/>
        <v>#N/A</v>
      </c>
      <c r="AB827" s="151"/>
    </row>
    <row r="828" spans="23:28" x14ac:dyDescent="0.2">
      <c r="W828" s="152"/>
      <c r="X828" s="119" t="str">
        <f t="shared" si="20"/>
        <v>1w</v>
      </c>
      <c r="Y828" s="112" t="e">
        <f>_xll.qlCalendarAdvance(Calendar,Y827,X828,"f",FALSE)</f>
        <v>#VALUE!</v>
      </c>
      <c r="Z828" s="114" t="e">
        <f>_xll.qlCalendarAdvance(Calendar,Y828,0&amp;"D")</f>
        <v>#VALUE!</v>
      </c>
      <c r="AA828" s="115" t="e">
        <f ca="1"/>
        <v>#N/A</v>
      </c>
      <c r="AB828" s="151"/>
    </row>
    <row r="829" spans="23:28" x14ac:dyDescent="0.2">
      <c r="W829" s="152"/>
      <c r="X829" s="119" t="str">
        <f t="shared" si="20"/>
        <v>1w</v>
      </c>
      <c r="Y829" s="112" t="e">
        <f>_xll.qlCalendarAdvance(Calendar,Y828,X829,"f",FALSE)</f>
        <v>#VALUE!</v>
      </c>
      <c r="Z829" s="114" t="e">
        <f>_xll.qlCalendarAdvance(Calendar,Y829,0&amp;"D")</f>
        <v>#VALUE!</v>
      </c>
      <c r="AA829" s="115" t="e">
        <f ca="1"/>
        <v>#N/A</v>
      </c>
      <c r="AB829" s="151"/>
    </row>
    <row r="830" spans="23:28" x14ac:dyDescent="0.2">
      <c r="W830" s="152"/>
      <c r="X830" s="119" t="str">
        <f t="shared" si="20"/>
        <v>1w</v>
      </c>
      <c r="Y830" s="112" t="e">
        <f>_xll.qlCalendarAdvance(Calendar,Y829,X830,"f",FALSE)</f>
        <v>#VALUE!</v>
      </c>
      <c r="Z830" s="114" t="e">
        <f>_xll.qlCalendarAdvance(Calendar,Y830,0&amp;"D")</f>
        <v>#VALUE!</v>
      </c>
      <c r="AA830" s="115" t="e">
        <f ca="1"/>
        <v>#N/A</v>
      </c>
      <c r="AB830" s="151"/>
    </row>
    <row r="831" spans="23:28" x14ac:dyDescent="0.2">
      <c r="W831" s="152"/>
      <c r="X831" s="119" t="str">
        <f t="shared" si="20"/>
        <v>1w</v>
      </c>
      <c r="Y831" s="112" t="e">
        <f>_xll.qlCalendarAdvance(Calendar,Y830,X831,"f",FALSE)</f>
        <v>#VALUE!</v>
      </c>
      <c r="Z831" s="114" t="e">
        <f>_xll.qlCalendarAdvance(Calendar,Y831,0&amp;"D")</f>
        <v>#VALUE!</v>
      </c>
      <c r="AA831" s="115" t="e">
        <f ca="1"/>
        <v>#N/A</v>
      </c>
      <c r="AB831" s="151"/>
    </row>
    <row r="832" spans="23:28" x14ac:dyDescent="0.2">
      <c r="W832" s="152"/>
      <c r="X832" s="119" t="str">
        <f t="shared" si="20"/>
        <v>1w</v>
      </c>
      <c r="Y832" s="112" t="e">
        <f>_xll.qlCalendarAdvance(Calendar,Y831,X832,"f",FALSE)</f>
        <v>#VALUE!</v>
      </c>
      <c r="Z832" s="114" t="e">
        <f>_xll.qlCalendarAdvance(Calendar,Y832,0&amp;"D")</f>
        <v>#VALUE!</v>
      </c>
      <c r="AA832" s="115" t="e">
        <f ca="1"/>
        <v>#N/A</v>
      </c>
      <c r="AB832" s="151"/>
    </row>
    <row r="833" spans="23:28" x14ac:dyDescent="0.2">
      <c r="W833" s="152"/>
      <c r="X833" s="119" t="str">
        <f t="shared" si="20"/>
        <v>1w</v>
      </c>
      <c r="Y833" s="112" t="e">
        <f>_xll.qlCalendarAdvance(Calendar,Y832,X833,"f",FALSE)</f>
        <v>#VALUE!</v>
      </c>
      <c r="Z833" s="114" t="e">
        <f>_xll.qlCalendarAdvance(Calendar,Y833,0&amp;"D")</f>
        <v>#VALUE!</v>
      </c>
      <c r="AA833" s="115" t="e">
        <f ca="1"/>
        <v>#N/A</v>
      </c>
      <c r="AB833" s="151"/>
    </row>
    <row r="834" spans="23:28" x14ac:dyDescent="0.2">
      <c r="W834" s="152"/>
      <c r="X834" s="119" t="str">
        <f t="shared" si="20"/>
        <v>1w</v>
      </c>
      <c r="Y834" s="112" t="e">
        <f>_xll.qlCalendarAdvance(Calendar,Y833,X834,"f",FALSE)</f>
        <v>#VALUE!</v>
      </c>
      <c r="Z834" s="114" t="e">
        <f>_xll.qlCalendarAdvance(Calendar,Y834,0&amp;"D")</f>
        <v>#VALUE!</v>
      </c>
      <c r="AA834" s="115" t="e">
        <f ca="1"/>
        <v>#N/A</v>
      </c>
      <c r="AB834" s="151"/>
    </row>
    <row r="835" spans="23:28" x14ac:dyDescent="0.2">
      <c r="W835" s="152"/>
      <c r="X835" s="119" t="str">
        <f t="shared" si="20"/>
        <v>1w</v>
      </c>
      <c r="Y835" s="112" t="e">
        <f>_xll.qlCalendarAdvance(Calendar,Y834,X835,"f",FALSE)</f>
        <v>#VALUE!</v>
      </c>
      <c r="Z835" s="114" t="e">
        <f>_xll.qlCalendarAdvance(Calendar,Y835,0&amp;"D")</f>
        <v>#VALUE!</v>
      </c>
      <c r="AA835" s="115" t="e">
        <f ca="1"/>
        <v>#N/A</v>
      </c>
      <c r="AB835" s="151"/>
    </row>
    <row r="836" spans="23:28" x14ac:dyDescent="0.2">
      <c r="W836" s="152"/>
      <c r="X836" s="119" t="str">
        <f t="shared" si="20"/>
        <v>1w</v>
      </c>
      <c r="Y836" s="112" t="e">
        <f>_xll.qlCalendarAdvance(Calendar,Y835,X836,"f",FALSE)</f>
        <v>#VALUE!</v>
      </c>
      <c r="Z836" s="114" t="e">
        <f>_xll.qlCalendarAdvance(Calendar,Y836,0&amp;"D")</f>
        <v>#VALUE!</v>
      </c>
      <c r="AA836" s="115" t="e">
        <f ca="1"/>
        <v>#N/A</v>
      </c>
      <c r="AB836" s="151"/>
    </row>
    <row r="837" spans="23:28" x14ac:dyDescent="0.2">
      <c r="W837" s="152"/>
      <c r="X837" s="119" t="str">
        <f t="shared" si="20"/>
        <v>1w</v>
      </c>
      <c r="Y837" s="112" t="e">
        <f>_xll.qlCalendarAdvance(Calendar,Y836,X837,"f",FALSE)</f>
        <v>#VALUE!</v>
      </c>
      <c r="Z837" s="114" t="e">
        <f>_xll.qlCalendarAdvance(Calendar,Y837,0&amp;"D")</f>
        <v>#VALUE!</v>
      </c>
      <c r="AA837" s="115" t="e">
        <f ca="1"/>
        <v>#N/A</v>
      </c>
      <c r="AB837" s="151"/>
    </row>
    <row r="838" spans="23:28" x14ac:dyDescent="0.2">
      <c r="W838" s="152"/>
      <c r="X838" s="119" t="str">
        <f t="shared" si="20"/>
        <v>1w</v>
      </c>
      <c r="Y838" s="112" t="e">
        <f>_xll.qlCalendarAdvance(Calendar,Y837,X838,"f",FALSE)</f>
        <v>#VALUE!</v>
      </c>
      <c r="Z838" s="114" t="e">
        <f>_xll.qlCalendarAdvance(Calendar,Y838,0&amp;"D")</f>
        <v>#VALUE!</v>
      </c>
      <c r="AA838" s="115" t="e">
        <f ca="1"/>
        <v>#N/A</v>
      </c>
      <c r="AB838" s="151"/>
    </row>
    <row r="839" spans="23:28" x14ac:dyDescent="0.2">
      <c r="W839" s="152"/>
      <c r="X839" s="119" t="str">
        <f t="shared" si="20"/>
        <v>1w</v>
      </c>
      <c r="Y839" s="112" t="e">
        <f>_xll.qlCalendarAdvance(Calendar,Y838,X839,"f",FALSE)</f>
        <v>#VALUE!</v>
      </c>
      <c r="Z839" s="114" t="e">
        <f>_xll.qlCalendarAdvance(Calendar,Y839,0&amp;"D")</f>
        <v>#VALUE!</v>
      </c>
      <c r="AA839" s="115" t="e">
        <f ca="1"/>
        <v>#N/A</v>
      </c>
      <c r="AB839" s="151"/>
    </row>
    <row r="840" spans="23:28" x14ac:dyDescent="0.2">
      <c r="W840" s="152"/>
      <c r="X840" s="119" t="str">
        <f t="shared" si="20"/>
        <v>1w</v>
      </c>
      <c r="Y840" s="112" t="e">
        <f>_xll.qlCalendarAdvance(Calendar,Y839,X840,"f",FALSE)</f>
        <v>#VALUE!</v>
      </c>
      <c r="Z840" s="114" t="e">
        <f>_xll.qlCalendarAdvance(Calendar,Y840,0&amp;"D")</f>
        <v>#VALUE!</v>
      </c>
      <c r="AA840" s="115" t="e">
        <f ca="1"/>
        <v>#N/A</v>
      </c>
      <c r="AB840" s="151"/>
    </row>
    <row r="841" spans="23:28" x14ac:dyDescent="0.2">
      <c r="W841" s="152"/>
      <c r="X841" s="119" t="str">
        <f t="shared" si="20"/>
        <v>1w</v>
      </c>
      <c r="Y841" s="112" t="e">
        <f>_xll.qlCalendarAdvance(Calendar,Y840,X841,"f",FALSE)</f>
        <v>#VALUE!</v>
      </c>
      <c r="Z841" s="114" t="e">
        <f>_xll.qlCalendarAdvance(Calendar,Y841,0&amp;"D")</f>
        <v>#VALUE!</v>
      </c>
      <c r="AA841" s="115" t="e">
        <f ca="1"/>
        <v>#N/A</v>
      </c>
      <c r="AB841" s="151"/>
    </row>
    <row r="842" spans="23:28" x14ac:dyDescent="0.2">
      <c r="W842" s="152"/>
      <c r="X842" s="119" t="str">
        <f t="shared" si="20"/>
        <v>1w</v>
      </c>
      <c r="Y842" s="112" t="e">
        <f>_xll.qlCalendarAdvance(Calendar,Y841,X842,"f",FALSE)</f>
        <v>#VALUE!</v>
      </c>
      <c r="Z842" s="114" t="e">
        <f>_xll.qlCalendarAdvance(Calendar,Y842,0&amp;"D")</f>
        <v>#VALUE!</v>
      </c>
      <c r="AA842" s="115" t="e">
        <f ca="1"/>
        <v>#N/A</v>
      </c>
      <c r="AB842" s="151"/>
    </row>
    <row r="843" spans="23:28" x14ac:dyDescent="0.2">
      <c r="W843" s="152"/>
      <c r="X843" s="119" t="str">
        <f t="shared" si="20"/>
        <v>1w</v>
      </c>
      <c r="Y843" s="112" t="e">
        <f>_xll.qlCalendarAdvance(Calendar,Y842,X843,"f",FALSE)</f>
        <v>#VALUE!</v>
      </c>
      <c r="Z843" s="114" t="e">
        <f>_xll.qlCalendarAdvance(Calendar,Y843,0&amp;"D")</f>
        <v>#VALUE!</v>
      </c>
      <c r="AA843" s="115" t="e">
        <f ca="1"/>
        <v>#N/A</v>
      </c>
      <c r="AB843" s="151"/>
    </row>
    <row r="844" spans="23:28" x14ac:dyDescent="0.2">
      <c r="W844" s="152"/>
      <c r="X844" s="119" t="str">
        <f t="shared" si="20"/>
        <v>1w</v>
      </c>
      <c r="Y844" s="112" t="e">
        <f>_xll.qlCalendarAdvance(Calendar,Y843,X844,"f",FALSE)</f>
        <v>#VALUE!</v>
      </c>
      <c r="Z844" s="114" t="e">
        <f>_xll.qlCalendarAdvance(Calendar,Y844,0&amp;"D")</f>
        <v>#VALUE!</v>
      </c>
      <c r="AA844" s="115" t="e">
        <f ca="1"/>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f ca="1"/>
        <v>#N/A</v>
      </c>
      <c r="AB845" s="151"/>
    </row>
    <row r="846" spans="23:28" x14ac:dyDescent="0.2">
      <c r="W846" s="152"/>
      <c r="X846" s="119" t="str">
        <f t="shared" si="21"/>
        <v>1w</v>
      </c>
      <c r="Y846" s="112" t="e">
        <f>_xll.qlCalendarAdvance(Calendar,Y845,X846,"f",FALSE)</f>
        <v>#VALUE!</v>
      </c>
      <c r="Z846" s="114" t="e">
        <f>_xll.qlCalendarAdvance(Calendar,Y846,0&amp;"D")</f>
        <v>#VALUE!</v>
      </c>
      <c r="AA846" s="115" t="e">
        <f ca="1"/>
        <v>#N/A</v>
      </c>
      <c r="AB846" s="151"/>
    </row>
    <row r="847" spans="23:28" x14ac:dyDescent="0.2">
      <c r="W847" s="152"/>
      <c r="X847" s="119" t="str">
        <f t="shared" si="21"/>
        <v>1w</v>
      </c>
      <c r="Y847" s="112" t="e">
        <f>_xll.qlCalendarAdvance(Calendar,Y846,X847,"f",FALSE)</f>
        <v>#VALUE!</v>
      </c>
      <c r="Z847" s="114" t="e">
        <f>_xll.qlCalendarAdvance(Calendar,Y847,0&amp;"D")</f>
        <v>#VALUE!</v>
      </c>
      <c r="AA847" s="115" t="e">
        <f ca="1"/>
        <v>#N/A</v>
      </c>
      <c r="AB847" s="151"/>
    </row>
    <row r="848" spans="23:28" x14ac:dyDescent="0.2">
      <c r="W848" s="152"/>
      <c r="X848" s="119" t="str">
        <f t="shared" si="21"/>
        <v>1w</v>
      </c>
      <c r="Y848" s="112" t="e">
        <f>_xll.qlCalendarAdvance(Calendar,Y847,X848,"f",FALSE)</f>
        <v>#VALUE!</v>
      </c>
      <c r="Z848" s="114" t="e">
        <f>_xll.qlCalendarAdvance(Calendar,Y848,0&amp;"D")</f>
        <v>#VALUE!</v>
      </c>
      <c r="AA848" s="115" t="e">
        <f ca="1"/>
        <v>#N/A</v>
      </c>
      <c r="AB848" s="151"/>
    </row>
    <row r="849" spans="23:28" x14ac:dyDescent="0.2">
      <c r="W849" s="152"/>
      <c r="X849" s="119" t="str">
        <f t="shared" si="21"/>
        <v>1w</v>
      </c>
      <c r="Y849" s="112" t="e">
        <f>_xll.qlCalendarAdvance(Calendar,Y848,X849,"f",FALSE)</f>
        <v>#VALUE!</v>
      </c>
      <c r="Z849" s="114" t="e">
        <f>_xll.qlCalendarAdvance(Calendar,Y849,0&amp;"D")</f>
        <v>#VALUE!</v>
      </c>
      <c r="AA849" s="115" t="e">
        <f ca="1"/>
        <v>#N/A</v>
      </c>
      <c r="AB849" s="151"/>
    </row>
    <row r="850" spans="23:28" x14ac:dyDescent="0.2">
      <c r="W850" s="152"/>
      <c r="X850" s="119" t="str">
        <f t="shared" si="21"/>
        <v>1w</v>
      </c>
      <c r="Y850" s="112" t="e">
        <f>_xll.qlCalendarAdvance(Calendar,Y849,X850,"f",FALSE)</f>
        <v>#VALUE!</v>
      </c>
      <c r="Z850" s="114" t="e">
        <f>_xll.qlCalendarAdvance(Calendar,Y850,0&amp;"D")</f>
        <v>#VALUE!</v>
      </c>
      <c r="AA850" s="115" t="e">
        <f ca="1"/>
        <v>#N/A</v>
      </c>
      <c r="AB850" s="151"/>
    </row>
    <row r="851" spans="23:28" x14ac:dyDescent="0.2">
      <c r="W851" s="152"/>
      <c r="X851" s="119" t="str">
        <f t="shared" si="21"/>
        <v>1w</v>
      </c>
      <c r="Y851" s="112" t="e">
        <f>_xll.qlCalendarAdvance(Calendar,Y850,X851,"f",FALSE)</f>
        <v>#VALUE!</v>
      </c>
      <c r="Z851" s="114" t="e">
        <f>_xll.qlCalendarAdvance(Calendar,Y851,0&amp;"D")</f>
        <v>#VALUE!</v>
      </c>
      <c r="AA851" s="115" t="e">
        <f ca="1"/>
        <v>#N/A</v>
      </c>
      <c r="AB851" s="151"/>
    </row>
    <row r="852" spans="23:28" x14ac:dyDescent="0.2">
      <c r="W852" s="152"/>
      <c r="X852" s="119" t="str">
        <f t="shared" si="21"/>
        <v>1w</v>
      </c>
      <c r="Y852" s="112" t="e">
        <f>_xll.qlCalendarAdvance(Calendar,Y851,X852,"f",FALSE)</f>
        <v>#VALUE!</v>
      </c>
      <c r="Z852" s="114" t="e">
        <f>_xll.qlCalendarAdvance(Calendar,Y852,0&amp;"D")</f>
        <v>#VALUE!</v>
      </c>
      <c r="AA852" s="115" t="e">
        <f ca="1"/>
        <v>#N/A</v>
      </c>
      <c r="AB852" s="151"/>
    </row>
    <row r="853" spans="23:28" x14ac:dyDescent="0.2">
      <c r="W853" s="152"/>
      <c r="X853" s="119" t="str">
        <f t="shared" si="21"/>
        <v>1w</v>
      </c>
      <c r="Y853" s="112" t="e">
        <f>_xll.qlCalendarAdvance(Calendar,Y852,X853,"f",FALSE)</f>
        <v>#VALUE!</v>
      </c>
      <c r="Z853" s="114" t="e">
        <f>_xll.qlCalendarAdvance(Calendar,Y853,0&amp;"D")</f>
        <v>#VALUE!</v>
      </c>
      <c r="AA853" s="115" t="e">
        <f ca="1"/>
        <v>#N/A</v>
      </c>
      <c r="AB853" s="151"/>
    </row>
    <row r="854" spans="23:28" x14ac:dyDescent="0.2">
      <c r="W854" s="152"/>
      <c r="X854" s="119" t="str">
        <f t="shared" si="21"/>
        <v>1w</v>
      </c>
      <c r="Y854" s="112" t="e">
        <f>_xll.qlCalendarAdvance(Calendar,Y853,X854,"f",FALSE)</f>
        <v>#VALUE!</v>
      </c>
      <c r="Z854" s="114" t="e">
        <f>_xll.qlCalendarAdvance(Calendar,Y854,0&amp;"D")</f>
        <v>#VALUE!</v>
      </c>
      <c r="AA854" s="115" t="e">
        <f ca="1"/>
        <v>#N/A</v>
      </c>
      <c r="AB854" s="151"/>
    </row>
    <row r="855" spans="23:28" x14ac:dyDescent="0.2">
      <c r="W855" s="152"/>
      <c r="X855" s="119" t="str">
        <f t="shared" si="21"/>
        <v>1w</v>
      </c>
      <c r="Y855" s="112" t="e">
        <f>_xll.qlCalendarAdvance(Calendar,Y854,X855,"f",FALSE)</f>
        <v>#VALUE!</v>
      </c>
      <c r="Z855" s="114" t="e">
        <f>_xll.qlCalendarAdvance(Calendar,Y855,0&amp;"D")</f>
        <v>#VALUE!</v>
      </c>
      <c r="AA855" s="115" t="e">
        <f ca="1"/>
        <v>#N/A</v>
      </c>
      <c r="AB855" s="151"/>
    </row>
    <row r="856" spans="23:28" x14ac:dyDescent="0.2">
      <c r="W856" s="152"/>
      <c r="X856" s="119" t="str">
        <f t="shared" si="21"/>
        <v>1w</v>
      </c>
      <c r="Y856" s="112" t="e">
        <f>_xll.qlCalendarAdvance(Calendar,Y855,X856,"f",FALSE)</f>
        <v>#VALUE!</v>
      </c>
      <c r="Z856" s="114" t="e">
        <f>_xll.qlCalendarAdvance(Calendar,Y856,0&amp;"D")</f>
        <v>#VALUE!</v>
      </c>
      <c r="AA856" s="115" t="e">
        <f ca="1"/>
        <v>#N/A</v>
      </c>
      <c r="AB856" s="151"/>
    </row>
    <row r="857" spans="23:28" x14ac:dyDescent="0.2">
      <c r="W857" s="152"/>
      <c r="X857" s="119" t="str">
        <f t="shared" si="21"/>
        <v>1w</v>
      </c>
      <c r="Y857" s="112" t="e">
        <f>_xll.qlCalendarAdvance(Calendar,Y856,X857,"f",FALSE)</f>
        <v>#VALUE!</v>
      </c>
      <c r="Z857" s="114" t="e">
        <f>_xll.qlCalendarAdvance(Calendar,Y857,0&amp;"D")</f>
        <v>#VALUE!</v>
      </c>
      <c r="AA857" s="115" t="e">
        <f ca="1"/>
        <v>#N/A</v>
      </c>
      <c r="AB857" s="151"/>
    </row>
    <row r="858" spans="23:28" x14ac:dyDescent="0.2">
      <c r="W858" s="152"/>
      <c r="X858" s="119" t="str">
        <f t="shared" si="21"/>
        <v>1w</v>
      </c>
      <c r="Y858" s="112" t="e">
        <f>_xll.qlCalendarAdvance(Calendar,Y857,X858,"f",FALSE)</f>
        <v>#VALUE!</v>
      </c>
      <c r="Z858" s="114" t="e">
        <f>_xll.qlCalendarAdvance(Calendar,Y858,0&amp;"D")</f>
        <v>#VALUE!</v>
      </c>
      <c r="AA858" s="115" t="e">
        <f ca="1"/>
        <v>#N/A</v>
      </c>
      <c r="AB858" s="151"/>
    </row>
    <row r="859" spans="23:28" x14ac:dyDescent="0.2">
      <c r="W859" s="152"/>
      <c r="X859" s="119" t="str">
        <f t="shared" si="21"/>
        <v>1w</v>
      </c>
      <c r="Y859" s="112" t="e">
        <f>_xll.qlCalendarAdvance(Calendar,Y858,X859,"f",FALSE)</f>
        <v>#VALUE!</v>
      </c>
      <c r="Z859" s="114" t="e">
        <f>_xll.qlCalendarAdvance(Calendar,Y859,0&amp;"D")</f>
        <v>#VALUE!</v>
      </c>
      <c r="AA859" s="115" t="e">
        <f ca="1"/>
        <v>#N/A</v>
      </c>
      <c r="AB859" s="151"/>
    </row>
    <row r="860" spans="23:28" x14ac:dyDescent="0.2">
      <c r="W860" s="152"/>
      <c r="X860" s="119" t="str">
        <f t="shared" si="21"/>
        <v>1w</v>
      </c>
      <c r="Y860" s="112" t="e">
        <f>_xll.qlCalendarAdvance(Calendar,Y859,X860,"f",FALSE)</f>
        <v>#VALUE!</v>
      </c>
      <c r="Z860" s="114" t="e">
        <f>_xll.qlCalendarAdvance(Calendar,Y860,0&amp;"D")</f>
        <v>#VALUE!</v>
      </c>
      <c r="AA860" s="115" t="e">
        <f ca="1"/>
        <v>#N/A</v>
      </c>
      <c r="AB860" s="151"/>
    </row>
    <row r="861" spans="23:28" x14ac:dyDescent="0.2">
      <c r="W861" s="152"/>
      <c r="X861" s="119" t="str">
        <f t="shared" si="21"/>
        <v>1w</v>
      </c>
      <c r="Y861" s="112" t="e">
        <f>_xll.qlCalendarAdvance(Calendar,Y860,X861,"f",FALSE)</f>
        <v>#VALUE!</v>
      </c>
      <c r="Z861" s="114" t="e">
        <f>_xll.qlCalendarAdvance(Calendar,Y861,0&amp;"D")</f>
        <v>#VALUE!</v>
      </c>
      <c r="AA861" s="115" t="e">
        <f ca="1"/>
        <v>#N/A</v>
      </c>
      <c r="AB861" s="151"/>
    </row>
    <row r="862" spans="23:28" x14ac:dyDescent="0.2">
      <c r="W862" s="152"/>
      <c r="X862" s="119" t="str">
        <f t="shared" si="21"/>
        <v>1w</v>
      </c>
      <c r="Y862" s="112" t="e">
        <f>_xll.qlCalendarAdvance(Calendar,Y861,X862,"f",FALSE)</f>
        <v>#VALUE!</v>
      </c>
      <c r="Z862" s="114" t="e">
        <f>_xll.qlCalendarAdvance(Calendar,Y862,0&amp;"D")</f>
        <v>#VALUE!</v>
      </c>
      <c r="AA862" s="115" t="e">
        <f ca="1"/>
        <v>#N/A</v>
      </c>
      <c r="AB862" s="151"/>
    </row>
    <row r="863" spans="23:28" x14ac:dyDescent="0.2">
      <c r="W863" s="152"/>
      <c r="X863" s="119" t="str">
        <f t="shared" si="21"/>
        <v>1w</v>
      </c>
      <c r="Y863" s="112" t="e">
        <f>_xll.qlCalendarAdvance(Calendar,Y862,X863,"f",FALSE)</f>
        <v>#VALUE!</v>
      </c>
      <c r="Z863" s="114" t="e">
        <f>_xll.qlCalendarAdvance(Calendar,Y863,0&amp;"D")</f>
        <v>#VALUE!</v>
      </c>
      <c r="AA863" s="115" t="e">
        <f ca="1"/>
        <v>#N/A</v>
      </c>
      <c r="AB863" s="151"/>
    </row>
    <row r="864" spans="23:28" x14ac:dyDescent="0.2">
      <c r="W864" s="152"/>
      <c r="X864" s="119" t="str">
        <f t="shared" si="21"/>
        <v>1w</v>
      </c>
      <c r="Y864" s="112" t="e">
        <f>_xll.qlCalendarAdvance(Calendar,Y863,X864,"f",FALSE)</f>
        <v>#VALUE!</v>
      </c>
      <c r="Z864" s="114" t="e">
        <f>_xll.qlCalendarAdvance(Calendar,Y864,0&amp;"D")</f>
        <v>#VALUE!</v>
      </c>
      <c r="AA864" s="115" t="e">
        <f ca="1"/>
        <v>#N/A</v>
      </c>
      <c r="AB864" s="151"/>
    </row>
    <row r="865" spans="23:28" x14ac:dyDescent="0.2">
      <c r="W865" s="152"/>
      <c r="X865" s="119" t="str">
        <f t="shared" si="21"/>
        <v>1w</v>
      </c>
      <c r="Y865" s="112" t="e">
        <f>_xll.qlCalendarAdvance(Calendar,Y864,X865,"f",FALSE)</f>
        <v>#VALUE!</v>
      </c>
      <c r="Z865" s="114" t="e">
        <f>_xll.qlCalendarAdvance(Calendar,Y865,0&amp;"D")</f>
        <v>#VALUE!</v>
      </c>
      <c r="AA865" s="115" t="e">
        <f ca="1"/>
        <v>#N/A</v>
      </c>
      <c r="AB865" s="151"/>
    </row>
    <row r="866" spans="23:28" x14ac:dyDescent="0.2">
      <c r="W866" s="152"/>
      <c r="X866" s="119" t="str">
        <f t="shared" si="21"/>
        <v>1w</v>
      </c>
      <c r="Y866" s="112" t="e">
        <f>_xll.qlCalendarAdvance(Calendar,Y865,X866,"f",FALSE)</f>
        <v>#VALUE!</v>
      </c>
      <c r="Z866" s="114" t="e">
        <f>_xll.qlCalendarAdvance(Calendar,Y866,0&amp;"D")</f>
        <v>#VALUE!</v>
      </c>
      <c r="AA866" s="115" t="e">
        <f ca="1"/>
        <v>#N/A</v>
      </c>
      <c r="AB866" s="151"/>
    </row>
    <row r="867" spans="23:28" x14ac:dyDescent="0.2">
      <c r="W867" s="152"/>
      <c r="X867" s="119" t="str">
        <f t="shared" si="21"/>
        <v>1w</v>
      </c>
      <c r="Y867" s="112" t="e">
        <f>_xll.qlCalendarAdvance(Calendar,Y866,X867,"f",FALSE)</f>
        <v>#VALUE!</v>
      </c>
      <c r="Z867" s="114" t="e">
        <f>_xll.qlCalendarAdvance(Calendar,Y867,0&amp;"D")</f>
        <v>#VALUE!</v>
      </c>
      <c r="AA867" s="115" t="e">
        <f ca="1"/>
        <v>#N/A</v>
      </c>
      <c r="AB867" s="151"/>
    </row>
    <row r="868" spans="23:28" x14ac:dyDescent="0.2">
      <c r="W868" s="152"/>
      <c r="X868" s="119" t="str">
        <f t="shared" si="21"/>
        <v>1w</v>
      </c>
      <c r="Y868" s="112" t="e">
        <f>_xll.qlCalendarAdvance(Calendar,Y867,X868,"f",FALSE)</f>
        <v>#VALUE!</v>
      </c>
      <c r="Z868" s="114" t="e">
        <f>_xll.qlCalendarAdvance(Calendar,Y868,0&amp;"D")</f>
        <v>#VALUE!</v>
      </c>
      <c r="AA868" s="115" t="e">
        <f ca="1"/>
        <v>#N/A</v>
      </c>
      <c r="AB868" s="151"/>
    </row>
    <row r="869" spans="23:28" x14ac:dyDescent="0.2">
      <c r="W869" s="152"/>
      <c r="X869" s="119" t="str">
        <f t="shared" si="21"/>
        <v>1w</v>
      </c>
      <c r="Y869" s="112" t="e">
        <f>_xll.qlCalendarAdvance(Calendar,Y868,X869,"f",FALSE)</f>
        <v>#VALUE!</v>
      </c>
      <c r="Z869" s="114" t="e">
        <f>_xll.qlCalendarAdvance(Calendar,Y869,0&amp;"D")</f>
        <v>#VALUE!</v>
      </c>
      <c r="AA869" s="115" t="e">
        <f ca="1"/>
        <v>#N/A</v>
      </c>
      <c r="AB869" s="151"/>
    </row>
    <row r="870" spans="23:28" x14ac:dyDescent="0.2">
      <c r="W870" s="152"/>
      <c r="X870" s="119" t="str">
        <f t="shared" si="21"/>
        <v>1w</v>
      </c>
      <c r="Y870" s="112" t="e">
        <f>_xll.qlCalendarAdvance(Calendar,Y869,X870,"f",FALSE)</f>
        <v>#VALUE!</v>
      </c>
      <c r="Z870" s="114" t="e">
        <f>_xll.qlCalendarAdvance(Calendar,Y870,0&amp;"D")</f>
        <v>#VALUE!</v>
      </c>
      <c r="AA870" s="115" t="e">
        <f ca="1"/>
        <v>#N/A</v>
      </c>
      <c r="AB870" s="151"/>
    </row>
    <row r="871" spans="23:28" x14ac:dyDescent="0.2">
      <c r="W871" s="152"/>
      <c r="X871" s="119" t="str">
        <f t="shared" si="21"/>
        <v>1w</v>
      </c>
      <c r="Y871" s="112" t="e">
        <f>_xll.qlCalendarAdvance(Calendar,Y870,X871,"f",FALSE)</f>
        <v>#VALUE!</v>
      </c>
      <c r="Z871" s="114" t="e">
        <f>_xll.qlCalendarAdvance(Calendar,Y871,0&amp;"D")</f>
        <v>#VALUE!</v>
      </c>
      <c r="AA871" s="115" t="e">
        <f ca="1"/>
        <v>#N/A</v>
      </c>
      <c r="AB871" s="151"/>
    </row>
    <row r="872" spans="23:28" x14ac:dyDescent="0.2">
      <c r="W872" s="152"/>
      <c r="X872" s="119" t="str">
        <f t="shared" si="21"/>
        <v>1w</v>
      </c>
      <c r="Y872" s="112" t="e">
        <f>_xll.qlCalendarAdvance(Calendar,Y871,X872,"f",FALSE)</f>
        <v>#VALUE!</v>
      </c>
      <c r="Z872" s="114" t="e">
        <f>_xll.qlCalendarAdvance(Calendar,Y872,0&amp;"D")</f>
        <v>#VALUE!</v>
      </c>
      <c r="AA872" s="115" t="e">
        <f ca="1"/>
        <v>#N/A</v>
      </c>
      <c r="AB872" s="151"/>
    </row>
    <row r="873" spans="23:28" x14ac:dyDescent="0.2">
      <c r="W873" s="152"/>
      <c r="X873" s="119" t="str">
        <f t="shared" si="21"/>
        <v>1w</v>
      </c>
      <c r="Y873" s="112" t="e">
        <f>_xll.qlCalendarAdvance(Calendar,Y872,X873,"f",FALSE)</f>
        <v>#VALUE!</v>
      </c>
      <c r="Z873" s="114" t="e">
        <f>_xll.qlCalendarAdvance(Calendar,Y873,0&amp;"D")</f>
        <v>#VALUE!</v>
      </c>
      <c r="AA873" s="115" t="e">
        <f ca="1"/>
        <v>#N/A</v>
      </c>
      <c r="AB873" s="151"/>
    </row>
    <row r="874" spans="23:28" x14ac:dyDescent="0.2">
      <c r="W874" s="152"/>
      <c r="X874" s="119" t="str">
        <f t="shared" si="21"/>
        <v>1w</v>
      </c>
      <c r="Y874" s="112" t="e">
        <f>_xll.qlCalendarAdvance(Calendar,Y873,X874,"f",FALSE)</f>
        <v>#VALUE!</v>
      </c>
      <c r="Z874" s="114" t="e">
        <f>_xll.qlCalendarAdvance(Calendar,Y874,0&amp;"D")</f>
        <v>#VALUE!</v>
      </c>
      <c r="AA874" s="115" t="e">
        <f ca="1"/>
        <v>#N/A</v>
      </c>
      <c r="AB874" s="151"/>
    </row>
    <row r="875" spans="23:28" x14ac:dyDescent="0.2">
      <c r="W875" s="152"/>
      <c r="X875" s="119" t="str">
        <f t="shared" si="21"/>
        <v>1w</v>
      </c>
      <c r="Y875" s="112" t="e">
        <f>_xll.qlCalendarAdvance(Calendar,Y874,X875,"f",FALSE)</f>
        <v>#VALUE!</v>
      </c>
      <c r="Z875" s="114" t="e">
        <f>_xll.qlCalendarAdvance(Calendar,Y875,0&amp;"D")</f>
        <v>#VALUE!</v>
      </c>
      <c r="AA875" s="115" t="e">
        <f ca="1"/>
        <v>#N/A</v>
      </c>
      <c r="AB875" s="151"/>
    </row>
    <row r="876" spans="23:28" x14ac:dyDescent="0.2">
      <c r="W876" s="152"/>
      <c r="X876" s="119" t="str">
        <f t="shared" si="21"/>
        <v>1w</v>
      </c>
      <c r="Y876" s="112" t="e">
        <f>_xll.qlCalendarAdvance(Calendar,Y875,X876,"f",FALSE)</f>
        <v>#VALUE!</v>
      </c>
      <c r="Z876" s="114" t="e">
        <f>_xll.qlCalendarAdvance(Calendar,Y876,0&amp;"D")</f>
        <v>#VALUE!</v>
      </c>
      <c r="AA876" s="115" t="e">
        <f ca="1"/>
        <v>#N/A</v>
      </c>
      <c r="AB876" s="151"/>
    </row>
    <row r="877" spans="23:28" x14ac:dyDescent="0.2">
      <c r="W877" s="152"/>
      <c r="X877" s="119" t="str">
        <f t="shared" si="21"/>
        <v>1w</v>
      </c>
      <c r="Y877" s="112" t="e">
        <f>_xll.qlCalendarAdvance(Calendar,Y876,X877,"f",FALSE)</f>
        <v>#VALUE!</v>
      </c>
      <c r="Z877" s="114" t="e">
        <f>_xll.qlCalendarAdvance(Calendar,Y877,0&amp;"D")</f>
        <v>#VALUE!</v>
      </c>
      <c r="AA877" s="115" t="e">
        <f ca="1"/>
        <v>#N/A</v>
      </c>
      <c r="AB877" s="151"/>
    </row>
    <row r="878" spans="23:28" x14ac:dyDescent="0.2">
      <c r="W878" s="152"/>
      <c r="X878" s="119" t="str">
        <f t="shared" si="21"/>
        <v>1w</v>
      </c>
      <c r="Y878" s="112" t="e">
        <f>_xll.qlCalendarAdvance(Calendar,Y877,X878,"f",FALSE)</f>
        <v>#VALUE!</v>
      </c>
      <c r="Z878" s="114" t="e">
        <f>_xll.qlCalendarAdvance(Calendar,Y878,0&amp;"D")</f>
        <v>#VALUE!</v>
      </c>
      <c r="AA878" s="115" t="e">
        <f ca="1"/>
        <v>#N/A</v>
      </c>
      <c r="AB878" s="151"/>
    </row>
    <row r="879" spans="23:28" x14ac:dyDescent="0.2">
      <c r="W879" s="152"/>
      <c r="X879" s="119" t="str">
        <f t="shared" si="21"/>
        <v>1w</v>
      </c>
      <c r="Y879" s="112" t="e">
        <f>_xll.qlCalendarAdvance(Calendar,Y878,X879,"f",FALSE)</f>
        <v>#VALUE!</v>
      </c>
      <c r="Z879" s="114" t="e">
        <f>_xll.qlCalendarAdvance(Calendar,Y879,0&amp;"D")</f>
        <v>#VALUE!</v>
      </c>
      <c r="AA879" s="115" t="e">
        <f ca="1"/>
        <v>#N/A</v>
      </c>
      <c r="AB879" s="151"/>
    </row>
    <row r="880" spans="23:28" x14ac:dyDescent="0.2">
      <c r="W880" s="152"/>
      <c r="X880" s="119" t="str">
        <f t="shared" si="21"/>
        <v>1w</v>
      </c>
      <c r="Y880" s="112" t="e">
        <f>_xll.qlCalendarAdvance(Calendar,Y879,X880,"f",FALSE)</f>
        <v>#VALUE!</v>
      </c>
      <c r="Z880" s="114" t="e">
        <f>_xll.qlCalendarAdvance(Calendar,Y880,0&amp;"D")</f>
        <v>#VALUE!</v>
      </c>
      <c r="AA880" s="115" t="e">
        <f ca="1"/>
        <v>#N/A</v>
      </c>
      <c r="AB880" s="151"/>
    </row>
    <row r="881" spans="23:28" x14ac:dyDescent="0.2">
      <c r="W881" s="152"/>
      <c r="X881" s="119" t="str">
        <f t="shared" si="21"/>
        <v>1w</v>
      </c>
      <c r="Y881" s="112" t="e">
        <f>_xll.qlCalendarAdvance(Calendar,Y880,X881,"f",FALSE)</f>
        <v>#VALUE!</v>
      </c>
      <c r="Z881" s="114" t="e">
        <f>_xll.qlCalendarAdvance(Calendar,Y881,0&amp;"D")</f>
        <v>#VALUE!</v>
      </c>
      <c r="AA881" s="115" t="e">
        <f ca="1"/>
        <v>#N/A</v>
      </c>
      <c r="AB881" s="151"/>
    </row>
    <row r="882" spans="23:28" x14ac:dyDescent="0.2">
      <c r="W882" s="152"/>
      <c r="X882" s="119" t="str">
        <f t="shared" si="21"/>
        <v>1w</v>
      </c>
      <c r="Y882" s="112" t="e">
        <f>_xll.qlCalendarAdvance(Calendar,Y881,X882,"f",FALSE)</f>
        <v>#VALUE!</v>
      </c>
      <c r="Z882" s="114" t="e">
        <f>_xll.qlCalendarAdvance(Calendar,Y882,0&amp;"D")</f>
        <v>#VALUE!</v>
      </c>
      <c r="AA882" s="115" t="e">
        <f ca="1"/>
        <v>#N/A</v>
      </c>
      <c r="AB882" s="151"/>
    </row>
    <row r="883" spans="23:28" x14ac:dyDescent="0.2">
      <c r="W883" s="152"/>
      <c r="X883" s="119" t="str">
        <f t="shared" si="21"/>
        <v>1w</v>
      </c>
      <c r="Y883" s="112" t="e">
        <f>_xll.qlCalendarAdvance(Calendar,Y882,X883,"f",FALSE)</f>
        <v>#VALUE!</v>
      </c>
      <c r="Z883" s="114" t="e">
        <f>_xll.qlCalendarAdvance(Calendar,Y883,0&amp;"D")</f>
        <v>#VALUE!</v>
      </c>
      <c r="AA883" s="115" t="e">
        <f ca="1"/>
        <v>#N/A</v>
      </c>
      <c r="AB883" s="151"/>
    </row>
    <row r="884" spans="23:28" x14ac:dyDescent="0.2">
      <c r="W884" s="152"/>
      <c r="X884" s="119" t="str">
        <f t="shared" si="21"/>
        <v>1w</v>
      </c>
      <c r="Y884" s="112" t="e">
        <f>_xll.qlCalendarAdvance(Calendar,Y883,X884,"f",FALSE)</f>
        <v>#VALUE!</v>
      </c>
      <c r="Z884" s="114" t="e">
        <f>_xll.qlCalendarAdvance(Calendar,Y884,0&amp;"D")</f>
        <v>#VALUE!</v>
      </c>
      <c r="AA884" s="115" t="e">
        <f ca="1"/>
        <v>#N/A</v>
      </c>
      <c r="AB884" s="151"/>
    </row>
    <row r="885" spans="23:28" x14ac:dyDescent="0.2">
      <c r="W885" s="152"/>
      <c r="X885" s="119" t="str">
        <f t="shared" si="21"/>
        <v>1w</v>
      </c>
      <c r="Y885" s="112" t="e">
        <f>_xll.qlCalendarAdvance(Calendar,Y884,X885,"f",FALSE)</f>
        <v>#VALUE!</v>
      </c>
      <c r="Z885" s="114" t="e">
        <f>_xll.qlCalendarAdvance(Calendar,Y885,0&amp;"D")</f>
        <v>#VALUE!</v>
      </c>
      <c r="AA885" s="115" t="e">
        <f ca="1"/>
        <v>#N/A</v>
      </c>
      <c r="AB885" s="151"/>
    </row>
    <row r="886" spans="23:28" x14ac:dyDescent="0.2">
      <c r="W886" s="152"/>
      <c r="X886" s="119" t="str">
        <f t="shared" si="21"/>
        <v>1w</v>
      </c>
      <c r="Y886" s="112" t="e">
        <f>_xll.qlCalendarAdvance(Calendar,Y885,X886,"f",FALSE)</f>
        <v>#VALUE!</v>
      </c>
      <c r="Z886" s="114" t="e">
        <f>_xll.qlCalendarAdvance(Calendar,Y886,0&amp;"D")</f>
        <v>#VALUE!</v>
      </c>
      <c r="AA886" s="115" t="e">
        <f ca="1"/>
        <v>#N/A</v>
      </c>
      <c r="AB886" s="151"/>
    </row>
    <row r="887" spans="23:28" x14ac:dyDescent="0.2">
      <c r="W887" s="152"/>
      <c r="X887" s="119" t="str">
        <f t="shared" si="21"/>
        <v>1w</v>
      </c>
      <c r="Y887" s="112" t="e">
        <f>_xll.qlCalendarAdvance(Calendar,Y886,X887,"f",FALSE)</f>
        <v>#VALUE!</v>
      </c>
      <c r="Z887" s="114" t="e">
        <f>_xll.qlCalendarAdvance(Calendar,Y887,0&amp;"D")</f>
        <v>#VALUE!</v>
      </c>
      <c r="AA887" s="115" t="e">
        <f ca="1"/>
        <v>#N/A</v>
      </c>
      <c r="AB887" s="151"/>
    </row>
    <row r="888" spans="23:28" x14ac:dyDescent="0.2">
      <c r="W888" s="152"/>
      <c r="X888" s="119" t="str">
        <f t="shared" si="21"/>
        <v>1w</v>
      </c>
      <c r="Y888" s="112" t="e">
        <f>_xll.qlCalendarAdvance(Calendar,Y887,X888,"f",FALSE)</f>
        <v>#VALUE!</v>
      </c>
      <c r="Z888" s="114" t="e">
        <f>_xll.qlCalendarAdvance(Calendar,Y888,0&amp;"D")</f>
        <v>#VALUE!</v>
      </c>
      <c r="AA888" s="115" t="e">
        <f ca="1"/>
        <v>#N/A</v>
      </c>
      <c r="AB888" s="151"/>
    </row>
    <row r="889" spans="23:28" x14ac:dyDescent="0.2">
      <c r="W889" s="152"/>
      <c r="X889" s="119" t="str">
        <f t="shared" si="21"/>
        <v>1w</v>
      </c>
      <c r="Y889" s="112" t="e">
        <f>_xll.qlCalendarAdvance(Calendar,Y888,X889,"f",FALSE)</f>
        <v>#VALUE!</v>
      </c>
      <c r="Z889" s="114" t="e">
        <f>_xll.qlCalendarAdvance(Calendar,Y889,0&amp;"D")</f>
        <v>#VALUE!</v>
      </c>
      <c r="AA889" s="115" t="e">
        <f ca="1"/>
        <v>#N/A</v>
      </c>
      <c r="AB889" s="151"/>
    </row>
    <row r="890" spans="23:28" x14ac:dyDescent="0.2">
      <c r="W890" s="152"/>
      <c r="X890" s="119" t="str">
        <f t="shared" si="21"/>
        <v>1w</v>
      </c>
      <c r="Y890" s="112" t="e">
        <f>_xll.qlCalendarAdvance(Calendar,Y889,X890,"f",FALSE)</f>
        <v>#VALUE!</v>
      </c>
      <c r="Z890" s="114" t="e">
        <f>_xll.qlCalendarAdvance(Calendar,Y890,0&amp;"D")</f>
        <v>#VALUE!</v>
      </c>
      <c r="AA890" s="115" t="e">
        <f ca="1"/>
        <v>#N/A</v>
      </c>
      <c r="AB890" s="151"/>
    </row>
    <row r="891" spans="23:28" x14ac:dyDescent="0.2">
      <c r="W891" s="152"/>
      <c r="X891" s="119" t="str">
        <f t="shared" si="21"/>
        <v>1w</v>
      </c>
      <c r="Y891" s="112" t="e">
        <f>_xll.qlCalendarAdvance(Calendar,Y890,X891,"f",FALSE)</f>
        <v>#VALUE!</v>
      </c>
      <c r="Z891" s="114" t="e">
        <f>_xll.qlCalendarAdvance(Calendar,Y891,0&amp;"D")</f>
        <v>#VALUE!</v>
      </c>
      <c r="AA891" s="115" t="e">
        <f ca="1"/>
        <v>#N/A</v>
      </c>
      <c r="AB891" s="151"/>
    </row>
    <row r="892" spans="23:28" x14ac:dyDescent="0.2">
      <c r="W892" s="152"/>
      <c r="X892" s="119" t="str">
        <f t="shared" si="21"/>
        <v>1w</v>
      </c>
      <c r="Y892" s="112" t="e">
        <f>_xll.qlCalendarAdvance(Calendar,Y891,X892,"f",FALSE)</f>
        <v>#VALUE!</v>
      </c>
      <c r="Z892" s="114" t="e">
        <f>_xll.qlCalendarAdvance(Calendar,Y892,0&amp;"D")</f>
        <v>#VALUE!</v>
      </c>
      <c r="AA892" s="115" t="e">
        <f ca="1"/>
        <v>#N/A</v>
      </c>
      <c r="AB892" s="151"/>
    </row>
    <row r="893" spans="23:28" x14ac:dyDescent="0.2">
      <c r="W893" s="152"/>
      <c r="X893" s="119" t="str">
        <f t="shared" si="21"/>
        <v>1w</v>
      </c>
      <c r="Y893" s="112" t="e">
        <f>_xll.qlCalendarAdvance(Calendar,Y892,X893,"f",FALSE)</f>
        <v>#VALUE!</v>
      </c>
      <c r="Z893" s="114" t="e">
        <f>_xll.qlCalendarAdvance(Calendar,Y893,0&amp;"D")</f>
        <v>#VALUE!</v>
      </c>
      <c r="AA893" s="115" t="e">
        <f ca="1"/>
        <v>#N/A</v>
      </c>
      <c r="AB893" s="151"/>
    </row>
    <row r="894" spans="23:28" x14ac:dyDescent="0.2">
      <c r="W894" s="152"/>
      <c r="X894" s="119" t="str">
        <f t="shared" si="21"/>
        <v>1w</v>
      </c>
      <c r="Y894" s="112" t="e">
        <f>_xll.qlCalendarAdvance(Calendar,Y893,X894,"f",FALSE)</f>
        <v>#VALUE!</v>
      </c>
      <c r="Z894" s="114" t="e">
        <f>_xll.qlCalendarAdvance(Calendar,Y894,0&amp;"D")</f>
        <v>#VALUE!</v>
      </c>
      <c r="AA894" s="115" t="e">
        <f ca="1"/>
        <v>#N/A</v>
      </c>
      <c r="AB894" s="151"/>
    </row>
    <row r="895" spans="23:28" x14ac:dyDescent="0.2">
      <c r="W895" s="152"/>
      <c r="X895" s="119" t="str">
        <f t="shared" si="21"/>
        <v>1w</v>
      </c>
      <c r="Y895" s="112" t="e">
        <f>_xll.qlCalendarAdvance(Calendar,Y894,X895,"f",FALSE)</f>
        <v>#VALUE!</v>
      </c>
      <c r="Z895" s="114" t="e">
        <f>_xll.qlCalendarAdvance(Calendar,Y895,0&amp;"D")</f>
        <v>#VALUE!</v>
      </c>
      <c r="AA895" s="115" t="e">
        <f ca="1"/>
        <v>#N/A</v>
      </c>
      <c r="AB895" s="151"/>
    </row>
    <row r="896" spans="23:28" x14ac:dyDescent="0.2">
      <c r="W896" s="152"/>
      <c r="X896" s="119" t="str">
        <f t="shared" si="21"/>
        <v>1w</v>
      </c>
      <c r="Y896" s="112" t="e">
        <f>_xll.qlCalendarAdvance(Calendar,Y895,X896,"f",FALSE)</f>
        <v>#VALUE!</v>
      </c>
      <c r="Z896" s="114" t="e">
        <f>_xll.qlCalendarAdvance(Calendar,Y896,0&amp;"D")</f>
        <v>#VALUE!</v>
      </c>
      <c r="AA896" s="115" t="e">
        <f ca="1"/>
        <v>#N/A</v>
      </c>
      <c r="AB896" s="151"/>
    </row>
    <row r="897" spans="23:28" x14ac:dyDescent="0.2">
      <c r="W897" s="152"/>
      <c r="X897" s="119" t="str">
        <f t="shared" si="21"/>
        <v>1w</v>
      </c>
      <c r="Y897" s="112" t="e">
        <f>_xll.qlCalendarAdvance(Calendar,Y896,X897,"f",FALSE)</f>
        <v>#VALUE!</v>
      </c>
      <c r="Z897" s="114" t="e">
        <f>_xll.qlCalendarAdvance(Calendar,Y897,0&amp;"D")</f>
        <v>#VALUE!</v>
      </c>
      <c r="AA897" s="115" t="e">
        <f ca="1"/>
        <v>#N/A</v>
      </c>
      <c r="AB897" s="151"/>
    </row>
    <row r="898" spans="23:28" x14ac:dyDescent="0.2">
      <c r="W898" s="152"/>
      <c r="X898" s="119" t="str">
        <f t="shared" si="21"/>
        <v>1w</v>
      </c>
      <c r="Y898" s="112" t="e">
        <f>_xll.qlCalendarAdvance(Calendar,Y897,X898,"f",FALSE)</f>
        <v>#VALUE!</v>
      </c>
      <c r="Z898" s="114" t="e">
        <f>_xll.qlCalendarAdvance(Calendar,Y898,0&amp;"D")</f>
        <v>#VALUE!</v>
      </c>
      <c r="AA898" s="115" t="e">
        <f ca="1"/>
        <v>#N/A</v>
      </c>
      <c r="AB898" s="151"/>
    </row>
    <row r="899" spans="23:28" x14ac:dyDescent="0.2">
      <c r="W899" s="152"/>
      <c r="X899" s="119" t="str">
        <f t="shared" si="21"/>
        <v>1w</v>
      </c>
      <c r="Y899" s="112" t="e">
        <f>_xll.qlCalendarAdvance(Calendar,Y898,X899,"f",FALSE)</f>
        <v>#VALUE!</v>
      </c>
      <c r="Z899" s="114" t="e">
        <f>_xll.qlCalendarAdvance(Calendar,Y899,0&amp;"D")</f>
        <v>#VALUE!</v>
      </c>
      <c r="AA899" s="115" t="e">
        <f ca="1"/>
        <v>#N/A</v>
      </c>
      <c r="AB899" s="151"/>
    </row>
    <row r="900" spans="23:28" x14ac:dyDescent="0.2">
      <c r="W900" s="152"/>
      <c r="X900" s="119" t="str">
        <f t="shared" si="21"/>
        <v>1w</v>
      </c>
      <c r="Y900" s="112" t="e">
        <f>_xll.qlCalendarAdvance(Calendar,Y899,X900,"f",FALSE)</f>
        <v>#VALUE!</v>
      </c>
      <c r="Z900" s="114" t="e">
        <f>_xll.qlCalendarAdvance(Calendar,Y900,0&amp;"D")</f>
        <v>#VALUE!</v>
      </c>
      <c r="AA900" s="115" t="e">
        <f ca="1"/>
        <v>#N/A</v>
      </c>
      <c r="AB900" s="151"/>
    </row>
    <row r="901" spans="23:28" x14ac:dyDescent="0.2">
      <c r="W901" s="152"/>
      <c r="X901" s="119" t="str">
        <f t="shared" si="21"/>
        <v>1w</v>
      </c>
      <c r="Y901" s="112" t="e">
        <f>_xll.qlCalendarAdvance(Calendar,Y900,X901,"f",FALSE)</f>
        <v>#VALUE!</v>
      </c>
      <c r="Z901" s="114" t="e">
        <f>_xll.qlCalendarAdvance(Calendar,Y901,0&amp;"D")</f>
        <v>#VALUE!</v>
      </c>
      <c r="AA901" s="115" t="e">
        <f ca="1"/>
        <v>#N/A</v>
      </c>
      <c r="AB901" s="151"/>
    </row>
    <row r="902" spans="23:28" x14ac:dyDescent="0.2">
      <c r="W902" s="152"/>
      <c r="X902" s="119" t="str">
        <f t="shared" si="21"/>
        <v>1w</v>
      </c>
      <c r="Y902" s="112" t="e">
        <f>_xll.qlCalendarAdvance(Calendar,Y901,X902,"f",FALSE)</f>
        <v>#VALUE!</v>
      </c>
      <c r="Z902" s="114" t="e">
        <f>_xll.qlCalendarAdvance(Calendar,Y902,0&amp;"D")</f>
        <v>#VALUE!</v>
      </c>
      <c r="AA902" s="115" t="e">
        <f ca="1"/>
        <v>#N/A</v>
      </c>
      <c r="AB902" s="151"/>
    </row>
    <row r="903" spans="23:28" x14ac:dyDescent="0.2">
      <c r="W903" s="152"/>
      <c r="X903" s="119" t="str">
        <f t="shared" si="21"/>
        <v>1w</v>
      </c>
      <c r="Y903" s="112" t="e">
        <f>_xll.qlCalendarAdvance(Calendar,Y902,X903,"f",FALSE)</f>
        <v>#VALUE!</v>
      </c>
      <c r="Z903" s="114" t="e">
        <f>_xll.qlCalendarAdvance(Calendar,Y903,0&amp;"D")</f>
        <v>#VALUE!</v>
      </c>
      <c r="AA903" s="115" t="e">
        <f ca="1"/>
        <v>#N/A</v>
      </c>
      <c r="AB903" s="151"/>
    </row>
    <row r="904" spans="23:28" x14ac:dyDescent="0.2">
      <c r="W904" s="152"/>
      <c r="X904" s="119" t="str">
        <f t="shared" si="21"/>
        <v>1w</v>
      </c>
      <c r="Y904" s="112" t="e">
        <f>_xll.qlCalendarAdvance(Calendar,Y903,X904,"f",FALSE)</f>
        <v>#VALUE!</v>
      </c>
      <c r="Z904" s="114" t="e">
        <f>_xll.qlCalendarAdvance(Calendar,Y904,0&amp;"D")</f>
        <v>#VALUE!</v>
      </c>
      <c r="AA904" s="115" t="e">
        <f ca="1"/>
        <v>#N/A</v>
      </c>
      <c r="AB904" s="151"/>
    </row>
    <row r="905" spans="23:28" x14ac:dyDescent="0.2">
      <c r="W905" s="152"/>
      <c r="X905" s="119" t="str">
        <f t="shared" si="21"/>
        <v>1w</v>
      </c>
      <c r="Y905" s="112" t="e">
        <f>_xll.qlCalendarAdvance(Calendar,Y904,X905,"f",FALSE)</f>
        <v>#VALUE!</v>
      </c>
      <c r="Z905" s="114" t="e">
        <f>_xll.qlCalendarAdvance(Calendar,Y905,0&amp;"D")</f>
        <v>#VALUE!</v>
      </c>
      <c r="AA905" s="115" t="e">
        <f ca="1"/>
        <v>#N/A</v>
      </c>
      <c r="AB905" s="151"/>
    </row>
    <row r="906" spans="23:28" x14ac:dyDescent="0.2">
      <c r="W906" s="152"/>
      <c r="X906" s="119" t="str">
        <f t="shared" si="21"/>
        <v>1w</v>
      </c>
      <c r="Y906" s="112" t="e">
        <f>_xll.qlCalendarAdvance(Calendar,Y905,X906,"f",FALSE)</f>
        <v>#VALUE!</v>
      </c>
      <c r="Z906" s="114" t="e">
        <f>_xll.qlCalendarAdvance(Calendar,Y906,0&amp;"D")</f>
        <v>#VALUE!</v>
      </c>
      <c r="AA906" s="115" t="e">
        <f ca="1"/>
        <v>#N/A</v>
      </c>
      <c r="AB906" s="151"/>
    </row>
    <row r="907" spans="23:28" x14ac:dyDescent="0.2">
      <c r="W907" s="152"/>
      <c r="X907" s="119" t="str">
        <f t="shared" si="21"/>
        <v>1w</v>
      </c>
      <c r="Y907" s="112" t="e">
        <f>_xll.qlCalendarAdvance(Calendar,Y906,X907,"f",FALSE)</f>
        <v>#VALUE!</v>
      </c>
      <c r="Z907" s="114" t="e">
        <f>_xll.qlCalendarAdvance(Calendar,Y907,0&amp;"D")</f>
        <v>#VALUE!</v>
      </c>
      <c r="AA907" s="115" t="e">
        <f ca="1"/>
        <v>#N/A</v>
      </c>
      <c r="AB907" s="151"/>
    </row>
    <row r="908" spans="23:28" x14ac:dyDescent="0.2">
      <c r="W908" s="152"/>
      <c r="X908" s="119" t="str">
        <f t="shared" si="21"/>
        <v>1w</v>
      </c>
      <c r="Y908" s="112" t="e">
        <f>_xll.qlCalendarAdvance(Calendar,Y907,X908,"f",FALSE)</f>
        <v>#VALUE!</v>
      </c>
      <c r="Z908" s="114" t="e">
        <f>_xll.qlCalendarAdvance(Calendar,Y908,0&amp;"D")</f>
        <v>#VALUE!</v>
      </c>
      <c r="AA908" s="115" t="e">
        <f ca="1"/>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f ca="1"/>
        <v>#N/A</v>
      </c>
      <c r="AB909" s="151"/>
    </row>
    <row r="910" spans="23:28" x14ac:dyDescent="0.2">
      <c r="W910" s="152"/>
      <c r="X910" s="119" t="str">
        <f t="shared" si="22"/>
        <v>1w</v>
      </c>
      <c r="Y910" s="112" t="e">
        <f>_xll.qlCalendarAdvance(Calendar,Y909,X910,"f",FALSE)</f>
        <v>#VALUE!</v>
      </c>
      <c r="Z910" s="114" t="e">
        <f>_xll.qlCalendarAdvance(Calendar,Y910,0&amp;"D")</f>
        <v>#VALUE!</v>
      </c>
      <c r="AA910" s="115" t="e">
        <f ca="1"/>
        <v>#N/A</v>
      </c>
      <c r="AB910" s="151"/>
    </row>
    <row r="911" spans="23:28" x14ac:dyDescent="0.2">
      <c r="W911" s="152"/>
      <c r="X911" s="119" t="str">
        <f t="shared" si="22"/>
        <v>1w</v>
      </c>
      <c r="Y911" s="112" t="e">
        <f>_xll.qlCalendarAdvance(Calendar,Y910,X911,"f",FALSE)</f>
        <v>#VALUE!</v>
      </c>
      <c r="Z911" s="114" t="e">
        <f>_xll.qlCalendarAdvance(Calendar,Y911,0&amp;"D")</f>
        <v>#VALUE!</v>
      </c>
      <c r="AA911" s="115" t="e">
        <f ca="1"/>
        <v>#N/A</v>
      </c>
      <c r="AB911" s="151"/>
    </row>
    <row r="912" spans="23:28" x14ac:dyDescent="0.2">
      <c r="W912" s="152"/>
      <c r="X912" s="119" t="str">
        <f t="shared" si="22"/>
        <v>1w</v>
      </c>
      <c r="Y912" s="112" t="e">
        <f>_xll.qlCalendarAdvance(Calendar,Y911,X912,"f",FALSE)</f>
        <v>#VALUE!</v>
      </c>
      <c r="Z912" s="114" t="e">
        <f>_xll.qlCalendarAdvance(Calendar,Y912,0&amp;"D")</f>
        <v>#VALUE!</v>
      </c>
      <c r="AA912" s="115" t="e">
        <f ca="1"/>
        <v>#N/A</v>
      </c>
      <c r="AB912" s="151"/>
    </row>
    <row r="913" spans="23:28" x14ac:dyDescent="0.2">
      <c r="W913" s="152"/>
      <c r="X913" s="119" t="str">
        <f t="shared" si="22"/>
        <v>1w</v>
      </c>
      <c r="Y913" s="112" t="e">
        <f>_xll.qlCalendarAdvance(Calendar,Y912,X913,"f",FALSE)</f>
        <v>#VALUE!</v>
      </c>
      <c r="Z913" s="114" t="e">
        <f>_xll.qlCalendarAdvance(Calendar,Y913,0&amp;"D")</f>
        <v>#VALUE!</v>
      </c>
      <c r="AA913" s="115" t="e">
        <f ca="1"/>
        <v>#N/A</v>
      </c>
      <c r="AB913" s="151"/>
    </row>
    <row r="914" spans="23:28" x14ac:dyDescent="0.2">
      <c r="W914" s="152"/>
      <c r="X914" s="119" t="str">
        <f t="shared" si="22"/>
        <v>1w</v>
      </c>
      <c r="Y914" s="112" t="e">
        <f>_xll.qlCalendarAdvance(Calendar,Y913,X914,"f",FALSE)</f>
        <v>#VALUE!</v>
      </c>
      <c r="Z914" s="114" t="e">
        <f>_xll.qlCalendarAdvance(Calendar,Y914,0&amp;"D")</f>
        <v>#VALUE!</v>
      </c>
      <c r="AA914" s="115" t="e">
        <f ca="1"/>
        <v>#N/A</v>
      </c>
      <c r="AB914" s="151"/>
    </row>
    <row r="915" spans="23:28" x14ac:dyDescent="0.2">
      <c r="W915" s="152"/>
      <c r="X915" s="119" t="str">
        <f t="shared" si="22"/>
        <v>1w</v>
      </c>
      <c r="Y915" s="112" t="e">
        <f>_xll.qlCalendarAdvance(Calendar,Y914,X915,"f",FALSE)</f>
        <v>#VALUE!</v>
      </c>
      <c r="Z915" s="114" t="e">
        <f>_xll.qlCalendarAdvance(Calendar,Y915,0&amp;"D")</f>
        <v>#VALUE!</v>
      </c>
      <c r="AA915" s="115" t="e">
        <f ca="1"/>
        <v>#N/A</v>
      </c>
      <c r="AB915" s="151"/>
    </row>
    <row r="916" spans="23:28" x14ac:dyDescent="0.2">
      <c r="W916" s="152"/>
      <c r="X916" s="119" t="str">
        <f t="shared" si="22"/>
        <v>1w</v>
      </c>
      <c r="Y916" s="112" t="e">
        <f>_xll.qlCalendarAdvance(Calendar,Y915,X916,"f",FALSE)</f>
        <v>#VALUE!</v>
      </c>
      <c r="Z916" s="114" t="e">
        <f>_xll.qlCalendarAdvance(Calendar,Y916,0&amp;"D")</f>
        <v>#VALUE!</v>
      </c>
      <c r="AA916" s="115" t="e">
        <f ca="1"/>
        <v>#N/A</v>
      </c>
      <c r="AB916" s="151"/>
    </row>
    <row r="917" spans="23:28" x14ac:dyDescent="0.2">
      <c r="W917" s="152"/>
      <c r="X917" s="119" t="str">
        <f t="shared" si="22"/>
        <v>1w</v>
      </c>
      <c r="Y917" s="112" t="e">
        <f>_xll.qlCalendarAdvance(Calendar,Y916,X917,"f",FALSE)</f>
        <v>#VALUE!</v>
      </c>
      <c r="Z917" s="114" t="e">
        <f>_xll.qlCalendarAdvance(Calendar,Y917,0&amp;"D")</f>
        <v>#VALUE!</v>
      </c>
      <c r="AA917" s="115" t="e">
        <f ca="1"/>
        <v>#N/A</v>
      </c>
      <c r="AB917" s="151"/>
    </row>
    <row r="918" spans="23:28" x14ac:dyDescent="0.2">
      <c r="W918" s="152"/>
      <c r="X918" s="119" t="str">
        <f t="shared" si="22"/>
        <v>1w</v>
      </c>
      <c r="Y918" s="112" t="e">
        <f>_xll.qlCalendarAdvance(Calendar,Y917,X918,"f",FALSE)</f>
        <v>#VALUE!</v>
      </c>
      <c r="Z918" s="114" t="e">
        <f>_xll.qlCalendarAdvance(Calendar,Y918,0&amp;"D")</f>
        <v>#VALUE!</v>
      </c>
      <c r="AA918" s="115" t="e">
        <f ca="1"/>
        <v>#N/A</v>
      </c>
      <c r="AB918" s="151"/>
    </row>
    <row r="919" spans="23:28" x14ac:dyDescent="0.2">
      <c r="W919" s="152"/>
      <c r="X919" s="119" t="str">
        <f t="shared" si="22"/>
        <v>1w</v>
      </c>
      <c r="Y919" s="112" t="e">
        <f>_xll.qlCalendarAdvance(Calendar,Y918,X919,"f",FALSE)</f>
        <v>#VALUE!</v>
      </c>
      <c r="Z919" s="114" t="e">
        <f>_xll.qlCalendarAdvance(Calendar,Y919,0&amp;"D")</f>
        <v>#VALUE!</v>
      </c>
      <c r="AA919" s="115" t="e">
        <f ca="1"/>
        <v>#N/A</v>
      </c>
      <c r="AB919" s="151"/>
    </row>
    <row r="920" spans="23:28" x14ac:dyDescent="0.2">
      <c r="W920" s="152"/>
      <c r="X920" s="119" t="str">
        <f t="shared" si="22"/>
        <v>1w</v>
      </c>
      <c r="Y920" s="112" t="e">
        <f>_xll.qlCalendarAdvance(Calendar,Y919,X920,"f",FALSE)</f>
        <v>#VALUE!</v>
      </c>
      <c r="Z920" s="114" t="e">
        <f>_xll.qlCalendarAdvance(Calendar,Y920,0&amp;"D")</f>
        <v>#VALUE!</v>
      </c>
      <c r="AA920" s="115" t="e">
        <f ca="1"/>
        <v>#N/A</v>
      </c>
      <c r="AB920" s="151"/>
    </row>
    <row r="921" spans="23:28" x14ac:dyDescent="0.2">
      <c r="W921" s="152"/>
      <c r="X921" s="119" t="str">
        <f t="shared" si="22"/>
        <v>1w</v>
      </c>
      <c r="Y921" s="112" t="e">
        <f>_xll.qlCalendarAdvance(Calendar,Y920,X921,"f",FALSE)</f>
        <v>#VALUE!</v>
      </c>
      <c r="Z921" s="114" t="e">
        <f>_xll.qlCalendarAdvance(Calendar,Y921,0&amp;"D")</f>
        <v>#VALUE!</v>
      </c>
      <c r="AA921" s="115" t="e">
        <f ca="1"/>
        <v>#N/A</v>
      </c>
      <c r="AB921" s="151"/>
    </row>
    <row r="922" spans="23:28" x14ac:dyDescent="0.2">
      <c r="W922" s="152"/>
      <c r="X922" s="119" t="str">
        <f t="shared" si="22"/>
        <v>1w</v>
      </c>
      <c r="Y922" s="112" t="e">
        <f>_xll.qlCalendarAdvance(Calendar,Y921,X922,"f",FALSE)</f>
        <v>#VALUE!</v>
      </c>
      <c r="Z922" s="114" t="e">
        <f>_xll.qlCalendarAdvance(Calendar,Y922,0&amp;"D")</f>
        <v>#VALUE!</v>
      </c>
      <c r="AA922" s="115" t="e">
        <f ca="1"/>
        <v>#N/A</v>
      </c>
      <c r="AB922" s="151"/>
    </row>
    <row r="923" spans="23:28" x14ac:dyDescent="0.2">
      <c r="W923" s="152"/>
      <c r="X923" s="119" t="str">
        <f t="shared" si="22"/>
        <v>1w</v>
      </c>
      <c r="Y923" s="112" t="e">
        <f>_xll.qlCalendarAdvance(Calendar,Y922,X923,"f",FALSE)</f>
        <v>#VALUE!</v>
      </c>
      <c r="Z923" s="114" t="e">
        <f>_xll.qlCalendarAdvance(Calendar,Y923,0&amp;"D")</f>
        <v>#VALUE!</v>
      </c>
      <c r="AA923" s="115" t="e">
        <f ca="1"/>
        <v>#N/A</v>
      </c>
      <c r="AB923" s="151"/>
    </row>
    <row r="924" spans="23:28" x14ac:dyDescent="0.2">
      <c r="W924" s="152"/>
      <c r="X924" s="119" t="str">
        <f t="shared" si="22"/>
        <v>1w</v>
      </c>
      <c r="Y924" s="112" t="e">
        <f>_xll.qlCalendarAdvance(Calendar,Y923,X924,"f",FALSE)</f>
        <v>#VALUE!</v>
      </c>
      <c r="Z924" s="114" t="e">
        <f>_xll.qlCalendarAdvance(Calendar,Y924,0&amp;"D")</f>
        <v>#VALUE!</v>
      </c>
      <c r="AA924" s="115" t="e">
        <f ca="1"/>
        <v>#N/A</v>
      </c>
      <c r="AB924" s="151"/>
    </row>
    <row r="925" spans="23:28" x14ac:dyDescent="0.2">
      <c r="W925" s="152"/>
      <c r="X925" s="119" t="str">
        <f t="shared" si="22"/>
        <v>1w</v>
      </c>
      <c r="Y925" s="112" t="e">
        <f>_xll.qlCalendarAdvance(Calendar,Y924,X925,"f",FALSE)</f>
        <v>#VALUE!</v>
      </c>
      <c r="Z925" s="114" t="e">
        <f>_xll.qlCalendarAdvance(Calendar,Y925,0&amp;"D")</f>
        <v>#VALUE!</v>
      </c>
      <c r="AA925" s="115" t="e">
        <f ca="1"/>
        <v>#N/A</v>
      </c>
      <c r="AB925" s="151"/>
    </row>
    <row r="926" spans="23:28" x14ac:dyDescent="0.2">
      <c r="W926" s="152"/>
      <c r="X926" s="119" t="str">
        <f t="shared" si="22"/>
        <v>1w</v>
      </c>
      <c r="Y926" s="112" t="e">
        <f>_xll.qlCalendarAdvance(Calendar,Y925,X926,"f",FALSE)</f>
        <v>#VALUE!</v>
      </c>
      <c r="Z926" s="114" t="e">
        <f>_xll.qlCalendarAdvance(Calendar,Y926,0&amp;"D")</f>
        <v>#VALUE!</v>
      </c>
      <c r="AA926" s="115" t="e">
        <f ca="1"/>
        <v>#N/A</v>
      </c>
      <c r="AB926" s="151"/>
    </row>
    <row r="927" spans="23:28" x14ac:dyDescent="0.2">
      <c r="W927" s="152"/>
      <c r="X927" s="119" t="str">
        <f t="shared" si="22"/>
        <v>1w</v>
      </c>
      <c r="Y927" s="112" t="e">
        <f>_xll.qlCalendarAdvance(Calendar,Y926,X927,"f",FALSE)</f>
        <v>#VALUE!</v>
      </c>
      <c r="Z927" s="114" t="e">
        <f>_xll.qlCalendarAdvance(Calendar,Y927,0&amp;"D")</f>
        <v>#VALUE!</v>
      </c>
      <c r="AA927" s="115" t="e">
        <f ca="1"/>
        <v>#N/A</v>
      </c>
      <c r="AB927" s="151"/>
    </row>
    <row r="928" spans="23:28" x14ac:dyDescent="0.2">
      <c r="W928" s="152"/>
      <c r="X928" s="119" t="str">
        <f t="shared" si="22"/>
        <v>1w</v>
      </c>
      <c r="Y928" s="112" t="e">
        <f>_xll.qlCalendarAdvance(Calendar,Y927,X928,"f",FALSE)</f>
        <v>#VALUE!</v>
      </c>
      <c r="Z928" s="114" t="e">
        <f>_xll.qlCalendarAdvance(Calendar,Y928,0&amp;"D")</f>
        <v>#VALUE!</v>
      </c>
      <c r="AA928" s="115" t="e">
        <f ca="1"/>
        <v>#N/A</v>
      </c>
      <c r="AB928" s="151"/>
    </row>
    <row r="929" spans="23:28" x14ac:dyDescent="0.2">
      <c r="W929" s="152"/>
      <c r="X929" s="119" t="str">
        <f t="shared" si="22"/>
        <v>1w</v>
      </c>
      <c r="Y929" s="112" t="e">
        <f>_xll.qlCalendarAdvance(Calendar,Y928,X929,"f",FALSE)</f>
        <v>#VALUE!</v>
      </c>
      <c r="Z929" s="114" t="e">
        <f>_xll.qlCalendarAdvance(Calendar,Y929,0&amp;"D")</f>
        <v>#VALUE!</v>
      </c>
      <c r="AA929" s="115" t="e">
        <f ca="1"/>
        <v>#N/A</v>
      </c>
      <c r="AB929" s="151"/>
    </row>
    <row r="930" spans="23:28" x14ac:dyDescent="0.2">
      <c r="W930" s="152"/>
      <c r="X930" s="119" t="str">
        <f t="shared" si="22"/>
        <v>1w</v>
      </c>
      <c r="Y930" s="112" t="e">
        <f>_xll.qlCalendarAdvance(Calendar,Y929,X930,"f",FALSE)</f>
        <v>#VALUE!</v>
      </c>
      <c r="Z930" s="114" t="e">
        <f>_xll.qlCalendarAdvance(Calendar,Y930,0&amp;"D")</f>
        <v>#VALUE!</v>
      </c>
      <c r="AA930" s="115" t="e">
        <f ca="1"/>
        <v>#N/A</v>
      </c>
      <c r="AB930" s="151"/>
    </row>
    <row r="931" spans="23:28" x14ac:dyDescent="0.2">
      <c r="W931" s="152"/>
      <c r="X931" s="119" t="str">
        <f t="shared" si="22"/>
        <v>1w</v>
      </c>
      <c r="Y931" s="112" t="e">
        <f>_xll.qlCalendarAdvance(Calendar,Y930,X931,"f",FALSE)</f>
        <v>#VALUE!</v>
      </c>
      <c r="Z931" s="114" t="e">
        <f>_xll.qlCalendarAdvance(Calendar,Y931,0&amp;"D")</f>
        <v>#VALUE!</v>
      </c>
      <c r="AA931" s="115" t="e">
        <f ca="1"/>
        <v>#N/A</v>
      </c>
      <c r="AB931" s="151"/>
    </row>
    <row r="932" spans="23:28" x14ac:dyDescent="0.2">
      <c r="W932" s="152"/>
      <c r="X932" s="119" t="str">
        <f t="shared" si="22"/>
        <v>1w</v>
      </c>
      <c r="Y932" s="112" t="e">
        <f>_xll.qlCalendarAdvance(Calendar,Y931,X932,"f",FALSE)</f>
        <v>#VALUE!</v>
      </c>
      <c r="Z932" s="114" t="e">
        <f>_xll.qlCalendarAdvance(Calendar,Y932,0&amp;"D")</f>
        <v>#VALUE!</v>
      </c>
      <c r="AA932" s="115" t="e">
        <f ca="1"/>
        <v>#N/A</v>
      </c>
      <c r="AB932" s="151"/>
    </row>
    <row r="933" spans="23:28" x14ac:dyDescent="0.2">
      <c r="W933" s="152"/>
      <c r="X933" s="119" t="str">
        <f t="shared" si="22"/>
        <v>1w</v>
      </c>
      <c r="Y933" s="112" t="e">
        <f>_xll.qlCalendarAdvance(Calendar,Y932,X933,"f",FALSE)</f>
        <v>#VALUE!</v>
      </c>
      <c r="Z933" s="114" t="e">
        <f>_xll.qlCalendarAdvance(Calendar,Y933,0&amp;"D")</f>
        <v>#VALUE!</v>
      </c>
      <c r="AA933" s="115" t="e">
        <f ca="1"/>
        <v>#N/A</v>
      </c>
      <c r="AB933" s="151"/>
    </row>
    <row r="934" spans="23:28" x14ac:dyDescent="0.2">
      <c r="W934" s="152"/>
      <c r="X934" s="119" t="str">
        <f t="shared" si="22"/>
        <v>1w</v>
      </c>
      <c r="Y934" s="112" t="e">
        <f>_xll.qlCalendarAdvance(Calendar,Y933,X934,"f",FALSE)</f>
        <v>#VALUE!</v>
      </c>
      <c r="Z934" s="114" t="e">
        <f>_xll.qlCalendarAdvance(Calendar,Y934,0&amp;"D")</f>
        <v>#VALUE!</v>
      </c>
      <c r="AA934" s="115" t="e">
        <f ca="1"/>
        <v>#N/A</v>
      </c>
      <c r="AB934" s="151"/>
    </row>
    <row r="935" spans="23:28" x14ac:dyDescent="0.2">
      <c r="W935" s="152"/>
      <c r="X935" s="119" t="str">
        <f t="shared" si="22"/>
        <v>1w</v>
      </c>
      <c r="Y935" s="112" t="e">
        <f>_xll.qlCalendarAdvance(Calendar,Y934,X935,"f",FALSE)</f>
        <v>#VALUE!</v>
      </c>
      <c r="Z935" s="114" t="e">
        <f>_xll.qlCalendarAdvance(Calendar,Y935,0&amp;"D")</f>
        <v>#VALUE!</v>
      </c>
      <c r="AA935" s="115" t="e">
        <f ca="1"/>
        <v>#N/A</v>
      </c>
      <c r="AB935" s="151"/>
    </row>
    <row r="936" spans="23:28" x14ac:dyDescent="0.2">
      <c r="W936" s="152"/>
      <c r="X936" s="119" t="str">
        <f t="shared" si="22"/>
        <v>1w</v>
      </c>
      <c r="Y936" s="112" t="e">
        <f>_xll.qlCalendarAdvance(Calendar,Y935,X936,"f",FALSE)</f>
        <v>#VALUE!</v>
      </c>
      <c r="Z936" s="114" t="e">
        <f>_xll.qlCalendarAdvance(Calendar,Y936,0&amp;"D")</f>
        <v>#VALUE!</v>
      </c>
      <c r="AA936" s="115" t="e">
        <f ca="1"/>
        <v>#N/A</v>
      </c>
      <c r="AB936" s="151"/>
    </row>
    <row r="937" spans="23:28" x14ac:dyDescent="0.2">
      <c r="W937" s="152"/>
      <c r="X937" s="119" t="str">
        <f t="shared" si="22"/>
        <v>1w</v>
      </c>
      <c r="Y937" s="112" t="e">
        <f>_xll.qlCalendarAdvance(Calendar,Y936,X937,"f",FALSE)</f>
        <v>#VALUE!</v>
      </c>
      <c r="Z937" s="114" t="e">
        <f>_xll.qlCalendarAdvance(Calendar,Y937,0&amp;"D")</f>
        <v>#VALUE!</v>
      </c>
      <c r="AA937" s="115" t="e">
        <f ca="1"/>
        <v>#N/A</v>
      </c>
      <c r="AB937" s="151"/>
    </row>
    <row r="938" spans="23:28" x14ac:dyDescent="0.2">
      <c r="W938" s="152"/>
      <c r="X938" s="119" t="str">
        <f t="shared" si="22"/>
        <v>1w</v>
      </c>
      <c r="Y938" s="112" t="e">
        <f>_xll.qlCalendarAdvance(Calendar,Y937,X938,"f",FALSE)</f>
        <v>#VALUE!</v>
      </c>
      <c r="Z938" s="114" t="e">
        <f>_xll.qlCalendarAdvance(Calendar,Y938,0&amp;"D")</f>
        <v>#VALUE!</v>
      </c>
      <c r="AA938" s="115" t="e">
        <f ca="1"/>
        <v>#N/A</v>
      </c>
      <c r="AB938" s="151"/>
    </row>
    <row r="939" spans="23:28" x14ac:dyDescent="0.2">
      <c r="W939" s="152"/>
      <c r="X939" s="119" t="str">
        <f t="shared" si="22"/>
        <v>1w</v>
      </c>
      <c r="Y939" s="112" t="e">
        <f>_xll.qlCalendarAdvance(Calendar,Y938,X939,"f",FALSE)</f>
        <v>#VALUE!</v>
      </c>
      <c r="Z939" s="114" t="e">
        <f>_xll.qlCalendarAdvance(Calendar,Y939,0&amp;"D")</f>
        <v>#VALUE!</v>
      </c>
      <c r="AA939" s="115" t="e">
        <f ca="1"/>
        <v>#N/A</v>
      </c>
      <c r="AB939" s="151"/>
    </row>
    <row r="940" spans="23:28" x14ac:dyDescent="0.2">
      <c r="W940" s="152"/>
      <c r="X940" s="119" t="str">
        <f t="shared" si="22"/>
        <v>1w</v>
      </c>
      <c r="Y940" s="112" t="e">
        <f>_xll.qlCalendarAdvance(Calendar,Y939,X940,"f",FALSE)</f>
        <v>#VALUE!</v>
      </c>
      <c r="Z940" s="114" t="e">
        <f>_xll.qlCalendarAdvance(Calendar,Y940,0&amp;"D")</f>
        <v>#VALUE!</v>
      </c>
      <c r="AA940" s="115" t="e">
        <f ca="1"/>
        <v>#N/A</v>
      </c>
      <c r="AB940" s="151"/>
    </row>
    <row r="941" spans="23:28" x14ac:dyDescent="0.2">
      <c r="W941" s="152"/>
      <c r="X941" s="119" t="str">
        <f t="shared" si="22"/>
        <v>1w</v>
      </c>
      <c r="Y941" s="112" t="e">
        <f>_xll.qlCalendarAdvance(Calendar,Y940,X941,"f",FALSE)</f>
        <v>#VALUE!</v>
      </c>
      <c r="Z941" s="114" t="e">
        <f>_xll.qlCalendarAdvance(Calendar,Y941,0&amp;"D")</f>
        <v>#VALUE!</v>
      </c>
      <c r="AA941" s="115" t="e">
        <f ca="1"/>
        <v>#N/A</v>
      </c>
      <c r="AB941" s="151"/>
    </row>
    <row r="942" spans="23:28" x14ac:dyDescent="0.2">
      <c r="W942" s="152"/>
      <c r="X942" s="119" t="str">
        <f t="shared" si="22"/>
        <v>1w</v>
      </c>
      <c r="Y942" s="112" t="e">
        <f>_xll.qlCalendarAdvance(Calendar,Y941,X942,"f",FALSE)</f>
        <v>#VALUE!</v>
      </c>
      <c r="Z942" s="114" t="e">
        <f>_xll.qlCalendarAdvance(Calendar,Y942,0&amp;"D")</f>
        <v>#VALUE!</v>
      </c>
      <c r="AA942" s="115" t="e">
        <f ca="1"/>
        <v>#N/A</v>
      </c>
      <c r="AB942" s="151"/>
    </row>
    <row r="943" spans="23:28" x14ac:dyDescent="0.2">
      <c r="W943" s="152"/>
      <c r="X943" s="119" t="str">
        <f t="shared" si="22"/>
        <v>1w</v>
      </c>
      <c r="Y943" s="112" t="e">
        <f>_xll.qlCalendarAdvance(Calendar,Y942,X943,"f",FALSE)</f>
        <v>#VALUE!</v>
      </c>
      <c r="Z943" s="114" t="e">
        <f>_xll.qlCalendarAdvance(Calendar,Y943,0&amp;"D")</f>
        <v>#VALUE!</v>
      </c>
      <c r="AA943" s="115" t="e">
        <f ca="1"/>
        <v>#N/A</v>
      </c>
      <c r="AB943" s="151"/>
    </row>
    <row r="944" spans="23:28" x14ac:dyDescent="0.2">
      <c r="W944" s="152"/>
      <c r="X944" s="119" t="str">
        <f t="shared" si="22"/>
        <v>1w</v>
      </c>
      <c r="Y944" s="112" t="e">
        <f>_xll.qlCalendarAdvance(Calendar,Y943,X944,"f",FALSE)</f>
        <v>#VALUE!</v>
      </c>
      <c r="Z944" s="114" t="e">
        <f>_xll.qlCalendarAdvance(Calendar,Y944,0&amp;"D")</f>
        <v>#VALUE!</v>
      </c>
      <c r="AA944" s="115" t="e">
        <f ca="1"/>
        <v>#N/A</v>
      </c>
      <c r="AB944" s="151"/>
    </row>
    <row r="945" spans="23:28" x14ac:dyDescent="0.2">
      <c r="W945" s="152"/>
      <c r="X945" s="119" t="str">
        <f t="shared" si="22"/>
        <v>1w</v>
      </c>
      <c r="Y945" s="112" t="e">
        <f>_xll.qlCalendarAdvance(Calendar,Y944,X945,"f",FALSE)</f>
        <v>#VALUE!</v>
      </c>
      <c r="Z945" s="114" t="e">
        <f>_xll.qlCalendarAdvance(Calendar,Y945,0&amp;"D")</f>
        <v>#VALUE!</v>
      </c>
      <c r="AA945" s="115" t="e">
        <f ca="1"/>
        <v>#N/A</v>
      </c>
      <c r="AB945" s="151"/>
    </row>
    <row r="946" spans="23:28" x14ac:dyDescent="0.2">
      <c r="W946" s="152"/>
      <c r="X946" s="119" t="str">
        <f t="shared" si="22"/>
        <v>1w</v>
      </c>
      <c r="Y946" s="112" t="e">
        <f>_xll.qlCalendarAdvance(Calendar,Y945,X946,"f",FALSE)</f>
        <v>#VALUE!</v>
      </c>
      <c r="Z946" s="114" t="e">
        <f>_xll.qlCalendarAdvance(Calendar,Y946,0&amp;"D")</f>
        <v>#VALUE!</v>
      </c>
      <c r="AA946" s="115" t="e">
        <f ca="1"/>
        <v>#N/A</v>
      </c>
      <c r="AB946" s="151"/>
    </row>
    <row r="947" spans="23:28" x14ac:dyDescent="0.2">
      <c r="W947" s="152"/>
      <c r="X947" s="119" t="str">
        <f t="shared" si="22"/>
        <v>1w</v>
      </c>
      <c r="Y947" s="112" t="e">
        <f>_xll.qlCalendarAdvance(Calendar,Y946,X947,"f",FALSE)</f>
        <v>#VALUE!</v>
      </c>
      <c r="Z947" s="114" t="e">
        <f>_xll.qlCalendarAdvance(Calendar,Y947,0&amp;"D")</f>
        <v>#VALUE!</v>
      </c>
      <c r="AA947" s="115" t="e">
        <f ca="1"/>
        <v>#N/A</v>
      </c>
      <c r="AB947" s="151"/>
    </row>
    <row r="948" spans="23:28" x14ac:dyDescent="0.2">
      <c r="W948" s="152"/>
      <c r="X948" s="119" t="str">
        <f t="shared" si="22"/>
        <v>1w</v>
      </c>
      <c r="Y948" s="112" t="e">
        <f>_xll.qlCalendarAdvance(Calendar,Y947,X948,"f",FALSE)</f>
        <v>#VALUE!</v>
      </c>
      <c r="Z948" s="114" t="e">
        <f>_xll.qlCalendarAdvance(Calendar,Y948,0&amp;"D")</f>
        <v>#VALUE!</v>
      </c>
      <c r="AA948" s="115" t="e">
        <f ca="1"/>
        <v>#N/A</v>
      </c>
      <c r="AB948" s="151"/>
    </row>
    <row r="949" spans="23:28" x14ac:dyDescent="0.2">
      <c r="W949" s="152"/>
      <c r="X949" s="119" t="str">
        <f t="shared" si="22"/>
        <v>1w</v>
      </c>
      <c r="Y949" s="112" t="e">
        <f>_xll.qlCalendarAdvance(Calendar,Y948,X949,"f",FALSE)</f>
        <v>#VALUE!</v>
      </c>
      <c r="Z949" s="114" t="e">
        <f>_xll.qlCalendarAdvance(Calendar,Y949,0&amp;"D")</f>
        <v>#VALUE!</v>
      </c>
      <c r="AA949" s="115" t="e">
        <f ca="1"/>
        <v>#N/A</v>
      </c>
      <c r="AB949" s="151"/>
    </row>
    <row r="950" spans="23:28" x14ac:dyDescent="0.2">
      <c r="W950" s="152"/>
      <c r="X950" s="119" t="str">
        <f t="shared" si="22"/>
        <v>1w</v>
      </c>
      <c r="Y950" s="112" t="e">
        <f>_xll.qlCalendarAdvance(Calendar,Y949,X950,"f",FALSE)</f>
        <v>#VALUE!</v>
      </c>
      <c r="Z950" s="114" t="e">
        <f>_xll.qlCalendarAdvance(Calendar,Y950,0&amp;"D")</f>
        <v>#VALUE!</v>
      </c>
      <c r="AA950" s="115" t="e">
        <f ca="1"/>
        <v>#N/A</v>
      </c>
      <c r="AB950" s="151"/>
    </row>
    <row r="951" spans="23:28" x14ac:dyDescent="0.2">
      <c r="W951" s="152"/>
      <c r="X951" s="119" t="str">
        <f t="shared" si="22"/>
        <v>1w</v>
      </c>
      <c r="Y951" s="112" t="e">
        <f>_xll.qlCalendarAdvance(Calendar,Y950,X951,"f",FALSE)</f>
        <v>#VALUE!</v>
      </c>
      <c r="Z951" s="114" t="e">
        <f>_xll.qlCalendarAdvance(Calendar,Y951,0&amp;"D")</f>
        <v>#VALUE!</v>
      </c>
      <c r="AA951" s="115" t="e">
        <f ca="1"/>
        <v>#N/A</v>
      </c>
      <c r="AB951" s="151"/>
    </row>
    <row r="952" spans="23:28" x14ac:dyDescent="0.2">
      <c r="W952" s="152"/>
      <c r="X952" s="119" t="str">
        <f t="shared" si="22"/>
        <v>1w</v>
      </c>
      <c r="Y952" s="112" t="e">
        <f>_xll.qlCalendarAdvance(Calendar,Y951,X952,"f",FALSE)</f>
        <v>#VALUE!</v>
      </c>
      <c r="Z952" s="114" t="e">
        <f>_xll.qlCalendarAdvance(Calendar,Y952,0&amp;"D")</f>
        <v>#VALUE!</v>
      </c>
      <c r="AA952" s="115" t="e">
        <f ca="1"/>
        <v>#N/A</v>
      </c>
      <c r="AB952" s="151"/>
    </row>
    <row r="953" spans="23:28" x14ac:dyDescent="0.2">
      <c r="W953" s="152"/>
      <c r="X953" s="119" t="str">
        <f t="shared" si="22"/>
        <v>1w</v>
      </c>
      <c r="Y953" s="112" t="e">
        <f>_xll.qlCalendarAdvance(Calendar,Y952,X953,"f",FALSE)</f>
        <v>#VALUE!</v>
      </c>
      <c r="Z953" s="114" t="e">
        <f>_xll.qlCalendarAdvance(Calendar,Y953,0&amp;"D")</f>
        <v>#VALUE!</v>
      </c>
      <c r="AA953" s="115" t="e">
        <f ca="1"/>
        <v>#N/A</v>
      </c>
      <c r="AB953" s="151"/>
    </row>
    <row r="954" spans="23:28" x14ac:dyDescent="0.2">
      <c r="W954" s="152"/>
      <c r="X954" s="119" t="str">
        <f t="shared" si="22"/>
        <v>1w</v>
      </c>
      <c r="Y954" s="112" t="e">
        <f>_xll.qlCalendarAdvance(Calendar,Y953,X954,"f",FALSE)</f>
        <v>#VALUE!</v>
      </c>
      <c r="Z954" s="114" t="e">
        <f>_xll.qlCalendarAdvance(Calendar,Y954,0&amp;"D")</f>
        <v>#VALUE!</v>
      </c>
      <c r="AA954" s="115" t="e">
        <f ca="1"/>
        <v>#N/A</v>
      </c>
      <c r="AB954" s="151"/>
    </row>
    <row r="955" spans="23:28" x14ac:dyDescent="0.2">
      <c r="W955" s="152"/>
      <c r="X955" s="119" t="str">
        <f t="shared" si="22"/>
        <v>1w</v>
      </c>
      <c r="Y955" s="112" t="e">
        <f>_xll.qlCalendarAdvance(Calendar,Y954,X955,"f",FALSE)</f>
        <v>#VALUE!</v>
      </c>
      <c r="Z955" s="114" t="e">
        <f>_xll.qlCalendarAdvance(Calendar,Y955,0&amp;"D")</f>
        <v>#VALUE!</v>
      </c>
      <c r="AA955" s="115" t="e">
        <f ca="1"/>
        <v>#N/A</v>
      </c>
      <c r="AB955" s="151"/>
    </row>
    <row r="956" spans="23:28" x14ac:dyDescent="0.2">
      <c r="W956" s="152"/>
      <c r="X956" s="119" t="str">
        <f t="shared" si="22"/>
        <v>1w</v>
      </c>
      <c r="Y956" s="112" t="e">
        <f>_xll.qlCalendarAdvance(Calendar,Y955,X956,"f",FALSE)</f>
        <v>#VALUE!</v>
      </c>
      <c r="Z956" s="114" t="e">
        <f>_xll.qlCalendarAdvance(Calendar,Y956,0&amp;"D")</f>
        <v>#VALUE!</v>
      </c>
      <c r="AA956" s="115" t="e">
        <f ca="1"/>
        <v>#N/A</v>
      </c>
      <c r="AB956" s="151"/>
    </row>
    <row r="957" spans="23:28" x14ac:dyDescent="0.2">
      <c r="W957" s="152"/>
      <c r="X957" s="119" t="str">
        <f t="shared" si="22"/>
        <v>1w</v>
      </c>
      <c r="Y957" s="112" t="e">
        <f>_xll.qlCalendarAdvance(Calendar,Y956,X957,"f",FALSE)</f>
        <v>#VALUE!</v>
      </c>
      <c r="Z957" s="114" t="e">
        <f>_xll.qlCalendarAdvance(Calendar,Y957,0&amp;"D")</f>
        <v>#VALUE!</v>
      </c>
      <c r="AA957" s="115" t="e">
        <f ca="1"/>
        <v>#N/A</v>
      </c>
      <c r="AB957" s="151"/>
    </row>
    <row r="958" spans="23:28" x14ac:dyDescent="0.2">
      <c r="W958" s="152"/>
      <c r="X958" s="119" t="str">
        <f t="shared" si="22"/>
        <v>1w</v>
      </c>
      <c r="Y958" s="112" t="e">
        <f>_xll.qlCalendarAdvance(Calendar,Y957,X958,"f",FALSE)</f>
        <v>#VALUE!</v>
      </c>
      <c r="Z958" s="114" t="e">
        <f>_xll.qlCalendarAdvance(Calendar,Y958,0&amp;"D")</f>
        <v>#VALUE!</v>
      </c>
      <c r="AA958" s="115" t="e">
        <f ca="1"/>
        <v>#N/A</v>
      </c>
      <c r="AB958" s="151"/>
    </row>
    <row r="959" spans="23:28" x14ac:dyDescent="0.2">
      <c r="W959" s="152"/>
      <c r="X959" s="119" t="str">
        <f t="shared" si="22"/>
        <v>1w</v>
      </c>
      <c r="Y959" s="112" t="e">
        <f>_xll.qlCalendarAdvance(Calendar,Y958,X959,"f",FALSE)</f>
        <v>#VALUE!</v>
      </c>
      <c r="Z959" s="114" t="e">
        <f>_xll.qlCalendarAdvance(Calendar,Y959,0&amp;"D")</f>
        <v>#VALUE!</v>
      </c>
      <c r="AA959" s="115" t="e">
        <f ca="1"/>
        <v>#N/A</v>
      </c>
      <c r="AB959" s="151"/>
    </row>
    <row r="960" spans="23:28" x14ac:dyDescent="0.2">
      <c r="W960" s="152"/>
      <c r="X960" s="119" t="str">
        <f t="shared" si="22"/>
        <v>1w</v>
      </c>
      <c r="Y960" s="112" t="e">
        <f>_xll.qlCalendarAdvance(Calendar,Y959,X960,"f",FALSE)</f>
        <v>#VALUE!</v>
      </c>
      <c r="Z960" s="114" t="e">
        <f>_xll.qlCalendarAdvance(Calendar,Y960,0&amp;"D")</f>
        <v>#VALUE!</v>
      </c>
      <c r="AA960" s="115" t="e">
        <f ca="1"/>
        <v>#N/A</v>
      </c>
      <c r="AB960" s="151"/>
    </row>
    <row r="961" spans="23:28" x14ac:dyDescent="0.2">
      <c r="W961" s="152"/>
      <c r="X961" s="119" t="str">
        <f t="shared" si="22"/>
        <v>1w</v>
      </c>
      <c r="Y961" s="112" t="e">
        <f>_xll.qlCalendarAdvance(Calendar,Y960,X961,"f",FALSE)</f>
        <v>#VALUE!</v>
      </c>
      <c r="Z961" s="114" t="e">
        <f>_xll.qlCalendarAdvance(Calendar,Y961,0&amp;"D")</f>
        <v>#VALUE!</v>
      </c>
      <c r="AA961" s="115" t="e">
        <f ca="1"/>
        <v>#N/A</v>
      </c>
      <c r="AB961" s="151"/>
    </row>
    <row r="962" spans="23:28" x14ac:dyDescent="0.2">
      <c r="W962" s="152"/>
      <c r="X962" s="119" t="str">
        <f t="shared" si="22"/>
        <v>1w</v>
      </c>
      <c r="Y962" s="112" t="e">
        <f>_xll.qlCalendarAdvance(Calendar,Y961,X962,"f",FALSE)</f>
        <v>#VALUE!</v>
      </c>
      <c r="Z962" s="114" t="e">
        <f>_xll.qlCalendarAdvance(Calendar,Y962,0&amp;"D")</f>
        <v>#VALUE!</v>
      </c>
      <c r="AA962" s="115" t="e">
        <f ca="1"/>
        <v>#N/A</v>
      </c>
      <c r="AB962" s="151"/>
    </row>
    <row r="963" spans="23:28" x14ac:dyDescent="0.2">
      <c r="W963" s="152"/>
      <c r="X963" s="119" t="str">
        <f t="shared" si="22"/>
        <v>1w</v>
      </c>
      <c r="Y963" s="112" t="e">
        <f>_xll.qlCalendarAdvance(Calendar,Y962,X963,"f",FALSE)</f>
        <v>#VALUE!</v>
      </c>
      <c r="Z963" s="114" t="e">
        <f>_xll.qlCalendarAdvance(Calendar,Y963,0&amp;"D")</f>
        <v>#VALUE!</v>
      </c>
      <c r="AA963" s="115" t="e">
        <f ca="1"/>
        <v>#N/A</v>
      </c>
      <c r="AB963" s="151"/>
    </row>
    <row r="964" spans="23:28" x14ac:dyDescent="0.2">
      <c r="W964" s="152"/>
      <c r="X964" s="119" t="str">
        <f t="shared" si="22"/>
        <v>1w</v>
      </c>
      <c r="Y964" s="112" t="e">
        <f>_xll.qlCalendarAdvance(Calendar,Y963,X964,"f",FALSE)</f>
        <v>#VALUE!</v>
      </c>
      <c r="Z964" s="114" t="e">
        <f>_xll.qlCalendarAdvance(Calendar,Y964,0&amp;"D")</f>
        <v>#VALUE!</v>
      </c>
      <c r="AA964" s="115" t="e">
        <f ca="1"/>
        <v>#N/A</v>
      </c>
      <c r="AB964" s="151"/>
    </row>
    <row r="965" spans="23:28" x14ac:dyDescent="0.2">
      <c r="W965" s="152"/>
      <c r="X965" s="119" t="str">
        <f t="shared" si="22"/>
        <v>1w</v>
      </c>
      <c r="Y965" s="112" t="e">
        <f>_xll.qlCalendarAdvance(Calendar,Y964,X965,"f",FALSE)</f>
        <v>#VALUE!</v>
      </c>
      <c r="Z965" s="114" t="e">
        <f>_xll.qlCalendarAdvance(Calendar,Y965,0&amp;"D")</f>
        <v>#VALUE!</v>
      </c>
      <c r="AA965" s="115" t="e">
        <f ca="1"/>
        <v>#N/A</v>
      </c>
      <c r="AB965" s="151"/>
    </row>
    <row r="966" spans="23:28" x14ac:dyDescent="0.2">
      <c r="W966" s="152"/>
      <c r="X966" s="119" t="str">
        <f t="shared" si="22"/>
        <v>1w</v>
      </c>
      <c r="Y966" s="112" t="e">
        <f>_xll.qlCalendarAdvance(Calendar,Y965,X966,"f",FALSE)</f>
        <v>#VALUE!</v>
      </c>
      <c r="Z966" s="114" t="e">
        <f>_xll.qlCalendarAdvance(Calendar,Y966,0&amp;"D")</f>
        <v>#VALUE!</v>
      </c>
      <c r="AA966" s="115" t="e">
        <f ca="1"/>
        <v>#N/A</v>
      </c>
      <c r="AB966" s="151"/>
    </row>
    <row r="967" spans="23:28" x14ac:dyDescent="0.2">
      <c r="W967" s="152"/>
      <c r="X967" s="119" t="str">
        <f t="shared" si="22"/>
        <v>1w</v>
      </c>
      <c r="Y967" s="112" t="e">
        <f>_xll.qlCalendarAdvance(Calendar,Y966,X967,"f",FALSE)</f>
        <v>#VALUE!</v>
      </c>
      <c r="Z967" s="114" t="e">
        <f>_xll.qlCalendarAdvance(Calendar,Y967,0&amp;"D")</f>
        <v>#VALUE!</v>
      </c>
      <c r="AA967" s="115" t="e">
        <f ca="1"/>
        <v>#N/A</v>
      </c>
      <c r="AB967" s="151"/>
    </row>
    <row r="968" spans="23:28" x14ac:dyDescent="0.2">
      <c r="W968" s="152"/>
      <c r="X968" s="119" t="str">
        <f t="shared" si="22"/>
        <v>1w</v>
      </c>
      <c r="Y968" s="112" t="e">
        <f>_xll.qlCalendarAdvance(Calendar,Y967,X968,"f",FALSE)</f>
        <v>#VALUE!</v>
      </c>
      <c r="Z968" s="114" t="e">
        <f>_xll.qlCalendarAdvance(Calendar,Y968,0&amp;"D")</f>
        <v>#VALUE!</v>
      </c>
      <c r="AA968" s="115" t="e">
        <f ca="1"/>
        <v>#N/A</v>
      </c>
      <c r="AB968" s="151"/>
    </row>
    <row r="969" spans="23:28" x14ac:dyDescent="0.2">
      <c r="W969" s="152"/>
      <c r="X969" s="119" t="str">
        <f t="shared" si="22"/>
        <v>1w</v>
      </c>
      <c r="Y969" s="112" t="e">
        <f>_xll.qlCalendarAdvance(Calendar,Y968,X969,"f",FALSE)</f>
        <v>#VALUE!</v>
      </c>
      <c r="Z969" s="114" t="e">
        <f>_xll.qlCalendarAdvance(Calendar,Y969,0&amp;"D")</f>
        <v>#VALUE!</v>
      </c>
      <c r="AA969" s="115" t="e">
        <f ca="1"/>
        <v>#N/A</v>
      </c>
      <c r="AB969" s="151"/>
    </row>
    <row r="970" spans="23:28" x14ac:dyDescent="0.2">
      <c r="W970" s="152"/>
      <c r="X970" s="119" t="str">
        <f t="shared" si="22"/>
        <v>1w</v>
      </c>
      <c r="Y970" s="112" t="e">
        <f>_xll.qlCalendarAdvance(Calendar,Y969,X970,"f",FALSE)</f>
        <v>#VALUE!</v>
      </c>
      <c r="Z970" s="114" t="e">
        <f>_xll.qlCalendarAdvance(Calendar,Y970,0&amp;"D")</f>
        <v>#VALUE!</v>
      </c>
      <c r="AA970" s="115" t="e">
        <f ca="1"/>
        <v>#N/A</v>
      </c>
      <c r="AB970" s="151"/>
    </row>
    <row r="971" spans="23:28" x14ac:dyDescent="0.2">
      <c r="W971" s="152"/>
      <c r="X971" s="119" t="str">
        <f t="shared" si="22"/>
        <v>1w</v>
      </c>
      <c r="Y971" s="112" t="e">
        <f>_xll.qlCalendarAdvance(Calendar,Y970,X971,"f",FALSE)</f>
        <v>#VALUE!</v>
      </c>
      <c r="Z971" s="114" t="e">
        <f>_xll.qlCalendarAdvance(Calendar,Y971,0&amp;"D")</f>
        <v>#VALUE!</v>
      </c>
      <c r="AA971" s="115" t="e">
        <f ca="1"/>
        <v>#N/A</v>
      </c>
      <c r="AB971" s="151"/>
    </row>
    <row r="972" spans="23:28" x14ac:dyDescent="0.2">
      <c r="W972" s="152"/>
      <c r="X972" s="119" t="str">
        <f t="shared" si="22"/>
        <v>1w</v>
      </c>
      <c r="Y972" s="112" t="e">
        <f>_xll.qlCalendarAdvance(Calendar,Y971,X972,"f",FALSE)</f>
        <v>#VALUE!</v>
      </c>
      <c r="Z972" s="114" t="e">
        <f>_xll.qlCalendarAdvance(Calendar,Y972,0&amp;"D")</f>
        <v>#VALUE!</v>
      </c>
      <c r="AA972" s="115" t="e">
        <f ca="1"/>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f ca="1"/>
        <v>#N/A</v>
      </c>
      <c r="AB973" s="151"/>
    </row>
    <row r="974" spans="23:28" x14ac:dyDescent="0.2">
      <c r="W974" s="152"/>
      <c r="X974" s="119" t="str">
        <f t="shared" si="23"/>
        <v>1w</v>
      </c>
      <c r="Y974" s="112" t="e">
        <f>_xll.qlCalendarAdvance(Calendar,Y973,X974,"f",FALSE)</f>
        <v>#VALUE!</v>
      </c>
      <c r="Z974" s="114" t="e">
        <f>_xll.qlCalendarAdvance(Calendar,Y974,0&amp;"D")</f>
        <v>#VALUE!</v>
      </c>
      <c r="AA974" s="115" t="e">
        <f ca="1"/>
        <v>#N/A</v>
      </c>
      <c r="AB974" s="151"/>
    </row>
    <row r="975" spans="23:28" x14ac:dyDescent="0.2">
      <c r="W975" s="152"/>
      <c r="X975" s="119" t="str">
        <f t="shared" si="23"/>
        <v>1w</v>
      </c>
      <c r="Y975" s="112" t="e">
        <f>_xll.qlCalendarAdvance(Calendar,Y974,X975,"f",FALSE)</f>
        <v>#VALUE!</v>
      </c>
      <c r="Z975" s="114" t="e">
        <f>_xll.qlCalendarAdvance(Calendar,Y975,0&amp;"D")</f>
        <v>#VALUE!</v>
      </c>
      <c r="AA975" s="115" t="e">
        <f ca="1"/>
        <v>#N/A</v>
      </c>
      <c r="AB975" s="151"/>
    </row>
    <row r="976" spans="23:28" x14ac:dyDescent="0.2">
      <c r="W976" s="152"/>
      <c r="X976" s="119" t="str">
        <f t="shared" si="23"/>
        <v>1w</v>
      </c>
      <c r="Y976" s="112" t="e">
        <f>_xll.qlCalendarAdvance(Calendar,Y975,X976,"f",FALSE)</f>
        <v>#VALUE!</v>
      </c>
      <c r="Z976" s="114" t="e">
        <f>_xll.qlCalendarAdvance(Calendar,Y976,0&amp;"D")</f>
        <v>#VALUE!</v>
      </c>
      <c r="AA976" s="115" t="e">
        <f ca="1"/>
        <v>#N/A</v>
      </c>
      <c r="AB976" s="151"/>
    </row>
    <row r="977" spans="23:28" x14ac:dyDescent="0.2">
      <c r="W977" s="152"/>
      <c r="X977" s="119" t="str">
        <f t="shared" si="23"/>
        <v>1w</v>
      </c>
      <c r="Y977" s="112" t="e">
        <f>_xll.qlCalendarAdvance(Calendar,Y976,X977,"f",FALSE)</f>
        <v>#VALUE!</v>
      </c>
      <c r="Z977" s="114" t="e">
        <f>_xll.qlCalendarAdvance(Calendar,Y977,0&amp;"D")</f>
        <v>#VALUE!</v>
      </c>
      <c r="AA977" s="115" t="e">
        <f ca="1"/>
        <v>#N/A</v>
      </c>
      <c r="AB977" s="151"/>
    </row>
    <row r="978" spans="23:28" x14ac:dyDescent="0.2">
      <c r="W978" s="152"/>
      <c r="X978" s="119" t="str">
        <f t="shared" si="23"/>
        <v>1w</v>
      </c>
      <c r="Y978" s="112" t="e">
        <f>_xll.qlCalendarAdvance(Calendar,Y977,X978,"f",FALSE)</f>
        <v>#VALUE!</v>
      </c>
      <c r="Z978" s="114" t="e">
        <f>_xll.qlCalendarAdvance(Calendar,Y978,0&amp;"D")</f>
        <v>#VALUE!</v>
      </c>
      <c r="AA978" s="115" t="e">
        <f ca="1"/>
        <v>#N/A</v>
      </c>
      <c r="AB978" s="151"/>
    </row>
    <row r="979" spans="23:28" x14ac:dyDescent="0.2">
      <c r="W979" s="152"/>
      <c r="X979" s="119" t="str">
        <f t="shared" si="23"/>
        <v>1w</v>
      </c>
      <c r="Y979" s="112" t="e">
        <f>_xll.qlCalendarAdvance(Calendar,Y978,X979,"f",FALSE)</f>
        <v>#VALUE!</v>
      </c>
      <c r="Z979" s="114" t="e">
        <f>_xll.qlCalendarAdvance(Calendar,Y979,0&amp;"D")</f>
        <v>#VALUE!</v>
      </c>
      <c r="AA979" s="115" t="e">
        <f ca="1"/>
        <v>#N/A</v>
      </c>
      <c r="AB979" s="151"/>
    </row>
    <row r="980" spans="23:28" x14ac:dyDescent="0.2">
      <c r="W980" s="152"/>
      <c r="X980" s="119" t="str">
        <f t="shared" si="23"/>
        <v>1w</v>
      </c>
      <c r="Y980" s="112" t="e">
        <f>_xll.qlCalendarAdvance(Calendar,Y979,X980,"f",FALSE)</f>
        <v>#VALUE!</v>
      </c>
      <c r="Z980" s="114" t="e">
        <f>_xll.qlCalendarAdvance(Calendar,Y980,0&amp;"D")</f>
        <v>#VALUE!</v>
      </c>
      <c r="AA980" s="115" t="e">
        <f ca="1"/>
        <v>#N/A</v>
      </c>
      <c r="AB980" s="151"/>
    </row>
    <row r="981" spans="23:28" x14ac:dyDescent="0.2">
      <c r="W981" s="152"/>
      <c r="X981" s="119" t="str">
        <f t="shared" si="23"/>
        <v>1w</v>
      </c>
      <c r="Y981" s="112" t="e">
        <f>_xll.qlCalendarAdvance(Calendar,Y980,X981,"f",FALSE)</f>
        <v>#VALUE!</v>
      </c>
      <c r="Z981" s="114" t="e">
        <f>_xll.qlCalendarAdvance(Calendar,Y981,0&amp;"D")</f>
        <v>#VALUE!</v>
      </c>
      <c r="AA981" s="115" t="e">
        <f ca="1"/>
        <v>#N/A</v>
      </c>
      <c r="AB981" s="151"/>
    </row>
    <row r="982" spans="23:28" x14ac:dyDescent="0.2">
      <c r="W982" s="152"/>
      <c r="X982" s="119" t="str">
        <f t="shared" si="23"/>
        <v>1w</v>
      </c>
      <c r="Y982" s="112" t="e">
        <f>_xll.qlCalendarAdvance(Calendar,Y981,X982,"f",FALSE)</f>
        <v>#VALUE!</v>
      </c>
      <c r="Z982" s="114" t="e">
        <f>_xll.qlCalendarAdvance(Calendar,Y982,0&amp;"D")</f>
        <v>#VALUE!</v>
      </c>
      <c r="AA982" s="115" t="e">
        <f ca="1"/>
        <v>#N/A</v>
      </c>
      <c r="AB982" s="151"/>
    </row>
    <row r="983" spans="23:28" x14ac:dyDescent="0.2">
      <c r="W983" s="152"/>
      <c r="X983" s="119" t="str">
        <f t="shared" si="23"/>
        <v>1w</v>
      </c>
      <c r="Y983" s="112" t="e">
        <f>_xll.qlCalendarAdvance(Calendar,Y982,X983,"f",FALSE)</f>
        <v>#VALUE!</v>
      </c>
      <c r="Z983" s="114" t="e">
        <f>_xll.qlCalendarAdvance(Calendar,Y983,0&amp;"D")</f>
        <v>#VALUE!</v>
      </c>
      <c r="AA983" s="115" t="e">
        <f ca="1"/>
        <v>#N/A</v>
      </c>
      <c r="AB983" s="151"/>
    </row>
    <row r="984" spans="23:28" x14ac:dyDescent="0.2">
      <c r="W984" s="152"/>
      <c r="X984" s="119" t="str">
        <f t="shared" si="23"/>
        <v>1w</v>
      </c>
      <c r="Y984" s="112" t="e">
        <f>_xll.qlCalendarAdvance(Calendar,Y983,X984,"f",FALSE)</f>
        <v>#VALUE!</v>
      </c>
      <c r="Z984" s="114" t="e">
        <f>_xll.qlCalendarAdvance(Calendar,Y984,0&amp;"D")</f>
        <v>#VALUE!</v>
      </c>
      <c r="AA984" s="115" t="e">
        <f ca="1"/>
        <v>#N/A</v>
      </c>
      <c r="AB984" s="151"/>
    </row>
    <row r="985" spans="23:28" x14ac:dyDescent="0.2">
      <c r="W985" s="152"/>
      <c r="X985" s="119" t="str">
        <f t="shared" si="23"/>
        <v>1w</v>
      </c>
      <c r="Y985" s="112" t="e">
        <f>_xll.qlCalendarAdvance(Calendar,Y984,X985,"f",FALSE)</f>
        <v>#VALUE!</v>
      </c>
      <c r="Z985" s="114" t="e">
        <f>_xll.qlCalendarAdvance(Calendar,Y985,0&amp;"D")</f>
        <v>#VALUE!</v>
      </c>
      <c r="AA985" s="115" t="e">
        <f ca="1"/>
        <v>#N/A</v>
      </c>
      <c r="AB985" s="151"/>
    </row>
    <row r="986" spans="23:28" x14ac:dyDescent="0.2">
      <c r="W986" s="152"/>
      <c r="X986" s="119" t="str">
        <f t="shared" si="23"/>
        <v>1w</v>
      </c>
      <c r="Y986" s="112" t="e">
        <f>_xll.qlCalendarAdvance(Calendar,Y985,X986,"f",FALSE)</f>
        <v>#VALUE!</v>
      </c>
      <c r="Z986" s="114" t="e">
        <f>_xll.qlCalendarAdvance(Calendar,Y986,0&amp;"D")</f>
        <v>#VALUE!</v>
      </c>
      <c r="AA986" s="115" t="e">
        <f ca="1"/>
        <v>#N/A</v>
      </c>
      <c r="AB986" s="151"/>
    </row>
    <row r="987" spans="23:28" x14ac:dyDescent="0.2">
      <c r="W987" s="152"/>
      <c r="X987" s="119" t="str">
        <f t="shared" si="23"/>
        <v>1w</v>
      </c>
      <c r="Y987" s="112" t="e">
        <f>_xll.qlCalendarAdvance(Calendar,Y986,X987,"f",FALSE)</f>
        <v>#VALUE!</v>
      </c>
      <c r="Z987" s="114" t="e">
        <f>_xll.qlCalendarAdvance(Calendar,Y987,0&amp;"D")</f>
        <v>#VALUE!</v>
      </c>
      <c r="AA987" s="115" t="e">
        <f ca="1"/>
        <v>#N/A</v>
      </c>
      <c r="AB987" s="151"/>
    </row>
    <row r="988" spans="23:28" x14ac:dyDescent="0.2">
      <c r="W988" s="152"/>
      <c r="X988" s="119" t="str">
        <f t="shared" si="23"/>
        <v>1w</v>
      </c>
      <c r="Y988" s="112" t="e">
        <f>_xll.qlCalendarAdvance(Calendar,Y987,X988,"f",FALSE)</f>
        <v>#VALUE!</v>
      </c>
      <c r="Z988" s="114" t="e">
        <f>_xll.qlCalendarAdvance(Calendar,Y988,0&amp;"D")</f>
        <v>#VALUE!</v>
      </c>
      <c r="AA988" s="115" t="e">
        <f ca="1"/>
        <v>#N/A</v>
      </c>
      <c r="AB988" s="151"/>
    </row>
    <row r="989" spans="23:28" x14ac:dyDescent="0.2">
      <c r="W989" s="152"/>
      <c r="X989" s="119" t="str">
        <f t="shared" si="23"/>
        <v>1w</v>
      </c>
      <c r="Y989" s="112" t="e">
        <f>_xll.qlCalendarAdvance(Calendar,Y988,X989,"f",FALSE)</f>
        <v>#VALUE!</v>
      </c>
      <c r="Z989" s="114" t="e">
        <f>_xll.qlCalendarAdvance(Calendar,Y989,0&amp;"D")</f>
        <v>#VALUE!</v>
      </c>
      <c r="AA989" s="115" t="e">
        <f ca="1"/>
        <v>#N/A</v>
      </c>
      <c r="AB989" s="151"/>
    </row>
    <row r="990" spans="23:28" x14ac:dyDescent="0.2">
      <c r="W990" s="152"/>
      <c r="X990" s="119" t="str">
        <f t="shared" si="23"/>
        <v>1w</v>
      </c>
      <c r="Y990" s="112" t="e">
        <f>_xll.qlCalendarAdvance(Calendar,Y989,X990,"f",FALSE)</f>
        <v>#VALUE!</v>
      </c>
      <c r="Z990" s="114" t="e">
        <f>_xll.qlCalendarAdvance(Calendar,Y990,0&amp;"D")</f>
        <v>#VALUE!</v>
      </c>
      <c r="AA990" s="115" t="e">
        <f ca="1"/>
        <v>#N/A</v>
      </c>
      <c r="AB990" s="151"/>
    </row>
    <row r="991" spans="23:28" x14ac:dyDescent="0.2">
      <c r="W991" s="152"/>
      <c r="X991" s="119" t="str">
        <f t="shared" si="23"/>
        <v>1w</v>
      </c>
      <c r="Y991" s="112" t="e">
        <f>_xll.qlCalendarAdvance(Calendar,Y990,X991,"f",FALSE)</f>
        <v>#VALUE!</v>
      </c>
      <c r="Z991" s="114" t="e">
        <f>_xll.qlCalendarAdvance(Calendar,Y991,0&amp;"D")</f>
        <v>#VALUE!</v>
      </c>
      <c r="AA991" s="115" t="e">
        <f ca="1"/>
        <v>#N/A</v>
      </c>
      <c r="AB991" s="151"/>
    </row>
    <row r="992" spans="23:28" x14ac:dyDescent="0.2">
      <c r="W992" s="152"/>
      <c r="X992" s="119" t="str">
        <f t="shared" si="23"/>
        <v>1w</v>
      </c>
      <c r="Y992" s="112" t="e">
        <f>_xll.qlCalendarAdvance(Calendar,Y991,X992,"f",FALSE)</f>
        <v>#VALUE!</v>
      </c>
      <c r="Z992" s="114" t="e">
        <f>_xll.qlCalendarAdvance(Calendar,Y992,0&amp;"D")</f>
        <v>#VALUE!</v>
      </c>
      <c r="AA992" s="115" t="e">
        <f ca="1"/>
        <v>#N/A</v>
      </c>
      <c r="AB992" s="151"/>
    </row>
    <row r="993" spans="23:28" x14ac:dyDescent="0.2">
      <c r="W993" s="152"/>
      <c r="X993" s="119" t="str">
        <f t="shared" si="23"/>
        <v>1w</v>
      </c>
      <c r="Y993" s="112" t="e">
        <f>_xll.qlCalendarAdvance(Calendar,Y992,X993,"f",FALSE)</f>
        <v>#VALUE!</v>
      </c>
      <c r="Z993" s="114" t="e">
        <f>_xll.qlCalendarAdvance(Calendar,Y993,0&amp;"D")</f>
        <v>#VALUE!</v>
      </c>
      <c r="AA993" s="115" t="e">
        <f ca="1"/>
        <v>#N/A</v>
      </c>
      <c r="AB993" s="151"/>
    </row>
    <row r="994" spans="23:28" x14ac:dyDescent="0.2">
      <c r="W994" s="152"/>
      <c r="X994" s="119" t="str">
        <f t="shared" si="23"/>
        <v>1w</v>
      </c>
      <c r="Y994" s="112" t="e">
        <f>_xll.qlCalendarAdvance(Calendar,Y993,X994,"f",FALSE)</f>
        <v>#VALUE!</v>
      </c>
      <c r="Z994" s="114" t="e">
        <f>_xll.qlCalendarAdvance(Calendar,Y994,0&amp;"D")</f>
        <v>#VALUE!</v>
      </c>
      <c r="AA994" s="115" t="e">
        <f ca="1"/>
        <v>#N/A</v>
      </c>
      <c r="AB994" s="151"/>
    </row>
    <row r="995" spans="23:28" x14ac:dyDescent="0.2">
      <c r="W995" s="152"/>
      <c r="X995" s="119" t="str">
        <f t="shared" si="23"/>
        <v>1w</v>
      </c>
      <c r="Y995" s="112" t="e">
        <f>_xll.qlCalendarAdvance(Calendar,Y994,X995,"f",FALSE)</f>
        <v>#VALUE!</v>
      </c>
      <c r="Z995" s="114" t="e">
        <f>_xll.qlCalendarAdvance(Calendar,Y995,0&amp;"D")</f>
        <v>#VALUE!</v>
      </c>
      <c r="AA995" s="115" t="e">
        <f ca="1"/>
        <v>#N/A</v>
      </c>
      <c r="AB995" s="151"/>
    </row>
    <row r="996" spans="23:28" x14ac:dyDescent="0.2">
      <c r="W996" s="152"/>
      <c r="X996" s="119" t="str">
        <f t="shared" si="23"/>
        <v>1w</v>
      </c>
      <c r="Y996" s="112" t="e">
        <f>_xll.qlCalendarAdvance(Calendar,Y995,X996,"f",FALSE)</f>
        <v>#VALUE!</v>
      </c>
      <c r="Z996" s="114" t="e">
        <f>_xll.qlCalendarAdvance(Calendar,Y996,0&amp;"D")</f>
        <v>#VALUE!</v>
      </c>
      <c r="AA996" s="115" t="e">
        <f ca="1"/>
        <v>#N/A</v>
      </c>
      <c r="AB996" s="151"/>
    </row>
    <row r="997" spans="23:28" x14ac:dyDescent="0.2">
      <c r="W997" s="152"/>
      <c r="X997" s="119" t="str">
        <f t="shared" si="23"/>
        <v>1w</v>
      </c>
      <c r="Y997" s="112" t="e">
        <f>_xll.qlCalendarAdvance(Calendar,Y996,X997,"f",FALSE)</f>
        <v>#VALUE!</v>
      </c>
      <c r="Z997" s="114" t="e">
        <f>_xll.qlCalendarAdvance(Calendar,Y997,0&amp;"D")</f>
        <v>#VALUE!</v>
      </c>
      <c r="AA997" s="115" t="e">
        <f ca="1"/>
        <v>#N/A</v>
      </c>
      <c r="AB997" s="151"/>
    </row>
    <row r="998" spans="23:28" x14ac:dyDescent="0.2">
      <c r="W998" s="152"/>
      <c r="X998" s="119" t="str">
        <f t="shared" si="23"/>
        <v>1w</v>
      </c>
      <c r="Y998" s="112" t="e">
        <f>_xll.qlCalendarAdvance(Calendar,Y997,X998,"f",FALSE)</f>
        <v>#VALUE!</v>
      </c>
      <c r="Z998" s="114" t="e">
        <f>_xll.qlCalendarAdvance(Calendar,Y998,0&amp;"D")</f>
        <v>#VALUE!</v>
      </c>
      <c r="AA998" s="115" t="e">
        <f ca="1"/>
        <v>#N/A</v>
      </c>
      <c r="AB998" s="151"/>
    </row>
    <row r="999" spans="23:28" x14ac:dyDescent="0.2">
      <c r="W999" s="152"/>
      <c r="X999" s="119" t="str">
        <f t="shared" si="23"/>
        <v>1w</v>
      </c>
      <c r="Y999" s="112" t="e">
        <f>_xll.qlCalendarAdvance(Calendar,Y998,X999,"f",FALSE)</f>
        <v>#VALUE!</v>
      </c>
      <c r="Z999" s="114" t="e">
        <f>_xll.qlCalendarAdvance(Calendar,Y999,0&amp;"D")</f>
        <v>#VALUE!</v>
      </c>
      <c r="AA999" s="115" t="e">
        <f ca="1"/>
        <v>#N/A</v>
      </c>
      <c r="AB999" s="151"/>
    </row>
    <row r="1000" spans="23:28" x14ac:dyDescent="0.2">
      <c r="W1000" s="152"/>
      <c r="X1000" s="119" t="str">
        <f t="shared" si="23"/>
        <v>1w</v>
      </c>
      <c r="Y1000" s="112" t="e">
        <f>_xll.qlCalendarAdvance(Calendar,Y999,X1000,"f",FALSE)</f>
        <v>#VALUE!</v>
      </c>
      <c r="Z1000" s="114" t="e">
        <f>_xll.qlCalendarAdvance(Calendar,Y1000,0&amp;"D")</f>
        <v>#VALUE!</v>
      </c>
      <c r="AA1000" s="115" t="e">
        <f ca="1"/>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f ca="1"/>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f ca="1"/>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f ca="1"/>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f ca="1"/>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f ca="1"/>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f ca="1"/>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f ca="1"/>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f ca="1"/>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f ca="1"/>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f ca="1"/>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f ca="1"/>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f ca="1"/>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f ca="1"/>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f ca="1"/>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f ca="1"/>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f ca="1"/>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f ca="1"/>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f ca="1"/>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f ca="1"/>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f ca="1"/>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f ca="1"/>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f ca="1"/>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f ca="1"/>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f ca="1"/>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f ca="1"/>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f ca="1"/>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f ca="1"/>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f ca="1"/>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f ca="1"/>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f ca="1"/>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f ca="1"/>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f ca="1"/>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f ca="1"/>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f ca="1"/>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f ca="1"/>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f ca="1"/>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f ca="1"/>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f ca="1"/>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f ca="1"/>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f ca="1"/>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f ca="1"/>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f ca="1"/>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f ca="1"/>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f ca="1"/>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f ca="1"/>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f ca="1"/>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f ca="1"/>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f ca="1"/>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f ca="1"/>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f ca="1"/>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f ca="1"/>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f ca="1"/>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f ca="1"/>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f ca="1"/>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f ca="1"/>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f ca="1"/>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f ca="1"/>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f ca="1"/>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f ca="1"/>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f ca="1"/>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f ca="1"/>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f ca="1"/>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f ca="1"/>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f ca="1"/>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f ca="1"/>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f ca="1"/>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f ca="1"/>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f ca="1"/>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f ca="1"/>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f ca="1"/>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f ca="1"/>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f ca="1"/>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f ca="1"/>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f ca="1"/>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f ca="1"/>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f ca="1"/>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f ca="1"/>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f ca="1"/>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f ca="1"/>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f ca="1"/>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f ca="1"/>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f ca="1"/>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f ca="1"/>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f ca="1"/>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f ca="1"/>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f ca="1"/>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f ca="1"/>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f ca="1"/>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f ca="1"/>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f ca="1"/>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f ca="1"/>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f ca="1"/>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f ca="1"/>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f ca="1"/>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f ca="1"/>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f ca="1"/>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f ca="1"/>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f ca="1"/>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f ca="1"/>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f ca="1"/>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f ca="1"/>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f ca="1"/>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f ca="1"/>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f ca="1"/>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f ca="1"/>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f ca="1"/>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f ca="1"/>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f ca="1"/>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f ca="1"/>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f ca="1"/>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f ca="1"/>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f ca="1"/>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f ca="1"/>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f ca="1"/>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f ca="1"/>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f ca="1"/>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f ca="1"/>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f ca="1"/>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f ca="1"/>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f ca="1"/>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f ca="1"/>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f ca="1"/>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f ca="1"/>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f ca="1"/>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f ca="1"/>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f ca="1"/>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f ca="1"/>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f ca="1"/>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f ca="1"/>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f ca="1"/>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f ca="1"/>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f ca="1"/>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f ca="1"/>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f ca="1"/>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f ca="1"/>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f ca="1"/>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f ca="1"/>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f ca="1"/>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f ca="1"/>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f ca="1"/>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f ca="1"/>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f ca="1"/>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f ca="1"/>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f ca="1"/>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f ca="1"/>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f ca="1"/>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f ca="1"/>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f ca="1"/>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f ca="1"/>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f ca="1"/>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f ca="1"/>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f ca="1"/>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f ca="1"/>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f ca="1"/>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f ca="1"/>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f ca="1"/>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f ca="1"/>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f ca="1"/>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f ca="1"/>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f ca="1"/>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f ca="1"/>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f ca="1"/>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f ca="1"/>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f ca="1"/>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f ca="1"/>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f ca="1"/>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f ca="1"/>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f ca="1"/>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f ca="1"/>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f ca="1"/>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f ca="1"/>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f ca="1"/>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f ca="1"/>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f ca="1"/>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f ca="1"/>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f ca="1"/>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f ca="1"/>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f ca="1"/>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f ca="1"/>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f ca="1"/>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f ca="1"/>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f ca="1"/>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f ca="1"/>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f ca="1"/>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f ca="1"/>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f ca="1"/>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f ca="1"/>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f ca="1"/>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f ca="1"/>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f ca="1"/>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f ca="1"/>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f ca="1"/>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f ca="1"/>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f ca="1"/>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f ca="1"/>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f ca="1"/>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f ca="1"/>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f ca="1"/>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f ca="1"/>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f ca="1"/>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f ca="1"/>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f ca="1"/>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f ca="1"/>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f ca="1"/>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f ca="1"/>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f ca="1"/>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f ca="1"/>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f ca="1"/>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f ca="1"/>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f ca="1"/>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f ca="1"/>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f ca="1"/>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f ca="1"/>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f ca="1"/>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f ca="1"/>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f ca="1"/>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f ca="1"/>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f ca="1"/>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f ca="1"/>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f ca="1"/>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f ca="1"/>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f ca="1"/>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f ca="1"/>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f ca="1"/>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f ca="1"/>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f ca="1"/>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f ca="1"/>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f ca="1"/>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f ca="1"/>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f ca="1"/>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f ca="1"/>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f ca="1"/>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f ca="1"/>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f ca="1"/>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f ca="1"/>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f ca="1"/>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f ca="1"/>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f ca="1"/>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f ca="1"/>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f ca="1"/>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f ca="1"/>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f ca="1"/>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f ca="1"/>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f ca="1"/>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f ca="1"/>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f ca="1"/>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f ca="1"/>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f ca="1"/>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f ca="1"/>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f ca="1"/>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f ca="1"/>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f ca="1"/>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f ca="1"/>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f ca="1"/>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f ca="1"/>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f ca="1"/>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f ca="1"/>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f ca="1"/>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f ca="1"/>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f ca="1"/>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f ca="1"/>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f ca="1"/>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f ca="1"/>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f ca="1"/>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f ca="1"/>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f ca="1"/>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f ca="1"/>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f ca="1"/>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f ca="1"/>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f ca="1"/>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f ca="1"/>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f ca="1"/>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f ca="1"/>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f ca="1"/>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f ca="1"/>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f ca="1"/>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f ca="1"/>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f ca="1"/>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f ca="1"/>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f ca="1"/>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f ca="1"/>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f ca="1"/>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f ca="1"/>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f ca="1"/>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f ca="1"/>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f ca="1"/>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f ca="1"/>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f ca="1"/>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f ca="1"/>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f ca="1"/>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f ca="1"/>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f ca="1"/>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f ca="1"/>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f ca="1"/>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f ca="1"/>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f ca="1"/>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f ca="1"/>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f ca="1"/>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f ca="1"/>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f ca="1"/>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f ca="1"/>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f ca="1"/>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f ca="1"/>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f ca="1"/>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f ca="1"/>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f ca="1"/>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f ca="1"/>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f ca="1"/>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f ca="1"/>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f ca="1"/>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f ca="1"/>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f ca="1"/>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f ca="1"/>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f ca="1"/>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f ca="1"/>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f ca="1"/>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f ca="1"/>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f ca="1"/>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f ca="1"/>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f ca="1"/>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f ca="1"/>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f ca="1"/>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f ca="1"/>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f ca="1"/>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f ca="1"/>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f ca="1"/>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f ca="1"/>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f ca="1"/>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f ca="1"/>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f ca="1"/>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f ca="1"/>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f ca="1"/>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f ca="1"/>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f ca="1"/>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f ca="1"/>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f ca="1"/>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f ca="1"/>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f ca="1"/>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f ca="1"/>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f ca="1"/>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f ca="1"/>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f ca="1"/>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f ca="1"/>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f ca="1"/>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f ca="1"/>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f ca="1"/>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f ca="1"/>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f ca="1"/>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f ca="1"/>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f ca="1"/>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f ca="1"/>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f ca="1"/>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f ca="1"/>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f ca="1"/>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f ca="1"/>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f ca="1"/>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f ca="1"/>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f ca="1"/>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f ca="1"/>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f ca="1"/>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f ca="1"/>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f ca="1"/>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f ca="1"/>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f ca="1"/>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f ca="1"/>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f ca="1"/>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f ca="1"/>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f ca="1"/>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f ca="1"/>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f ca="1"/>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f ca="1"/>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f ca="1"/>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f ca="1"/>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f ca="1"/>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f ca="1"/>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f ca="1"/>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f ca="1"/>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f ca="1"/>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f ca="1"/>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f ca="1"/>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f ca="1"/>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f ca="1"/>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f ca="1"/>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f ca="1"/>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f ca="1"/>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f ca="1"/>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f ca="1"/>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f ca="1"/>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f ca="1"/>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f ca="1"/>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f ca="1"/>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f ca="1"/>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f ca="1"/>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f ca="1"/>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f ca="1"/>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f ca="1"/>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f ca="1"/>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f ca="1"/>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f ca="1"/>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f ca="1"/>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f ca="1"/>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f ca="1"/>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f ca="1"/>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f ca="1"/>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f ca="1"/>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f ca="1"/>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f ca="1"/>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f ca="1"/>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f ca="1"/>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f ca="1"/>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f ca="1"/>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f ca="1"/>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f ca="1"/>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f ca="1"/>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f ca="1"/>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f ca="1"/>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f ca="1"/>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f ca="1"/>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f ca="1"/>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f ca="1"/>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f ca="1"/>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f ca="1"/>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f ca="1"/>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f ca="1"/>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f ca="1"/>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f ca="1"/>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f ca="1"/>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f ca="1"/>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f ca="1"/>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f ca="1"/>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f ca="1"/>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f ca="1"/>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f ca="1"/>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f ca="1"/>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f ca="1"/>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f ca="1"/>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f ca="1"/>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f ca="1"/>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f ca="1"/>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f ca="1"/>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f ca="1"/>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f ca="1"/>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f ca="1"/>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f ca="1"/>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f ca="1"/>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f ca="1"/>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f ca="1"/>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f ca="1"/>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f ca="1"/>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f ca="1"/>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f ca="1"/>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f ca="1"/>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f ca="1"/>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f ca="1"/>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f ca="1"/>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f ca="1"/>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f ca="1"/>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f ca="1"/>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f ca="1"/>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f ca="1"/>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f ca="1"/>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f ca="1"/>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f ca="1"/>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f ca="1"/>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f ca="1"/>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f ca="1"/>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f ca="1"/>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f ca="1"/>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f ca="1"/>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f ca="1"/>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f ca="1"/>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f ca="1"/>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f ca="1"/>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f ca="1"/>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f ca="1"/>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f ca="1"/>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f ca="1"/>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f ca="1"/>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f ca="1"/>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f ca="1"/>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f ca="1"/>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f ca="1"/>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f ca="1"/>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f ca="1"/>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f ca="1"/>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f ca="1"/>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f ca="1"/>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f ca="1"/>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f ca="1"/>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f ca="1"/>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f ca="1"/>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f ca="1"/>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f ca="1"/>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f ca="1"/>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f ca="1"/>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f ca="1"/>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f ca="1"/>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f ca="1"/>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f ca="1"/>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f ca="1"/>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f ca="1"/>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f ca="1"/>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f ca="1"/>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f ca="1"/>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f ca="1"/>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f ca="1"/>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f ca="1"/>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f ca="1"/>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f ca="1"/>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f ca="1"/>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f ca="1"/>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f ca="1"/>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f ca="1"/>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f ca="1"/>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f ca="1"/>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f ca="1"/>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f ca="1"/>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f ca="1"/>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f ca="1"/>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f ca="1"/>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f ca="1"/>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f ca="1"/>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f ca="1"/>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f ca="1"/>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f ca="1"/>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f ca="1"/>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f ca="1"/>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f ca="1"/>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f ca="1"/>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f ca="1"/>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f ca="1"/>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f ca="1"/>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f ca="1"/>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f ca="1"/>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f ca="1"/>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f ca="1"/>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f ca="1"/>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f ca="1"/>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f ca="1"/>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f ca="1"/>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f ca="1"/>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f ca="1"/>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f ca="1"/>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f ca="1"/>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f ca="1"/>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f ca="1"/>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f ca="1"/>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f ca="1"/>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f ca="1"/>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f ca="1"/>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f ca="1"/>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f ca="1"/>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f ca="1"/>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f ca="1"/>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f ca="1"/>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f ca="1"/>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f ca="1"/>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f ca="1"/>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f ca="1"/>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f ca="1"/>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f ca="1"/>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f ca="1"/>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f ca="1"/>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f ca="1"/>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f ca="1"/>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f ca="1"/>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f ca="1"/>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f ca="1"/>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f ca="1"/>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f ca="1"/>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f ca="1"/>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f ca="1"/>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f ca="1"/>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f ca="1"/>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f ca="1"/>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f ca="1"/>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f ca="1"/>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f ca="1"/>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f ca="1"/>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f ca="1"/>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f ca="1"/>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f ca="1"/>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f ca="1"/>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f ca="1"/>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f ca="1"/>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f ca="1"/>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f ca="1"/>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f ca="1"/>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f ca="1"/>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f ca="1"/>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f ca="1"/>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f ca="1"/>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f ca="1"/>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f ca="1"/>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f ca="1"/>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f ca="1"/>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f ca="1"/>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f ca="1"/>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f ca="1"/>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f ca="1"/>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f ca="1"/>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f ca="1"/>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f ca="1"/>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f ca="1"/>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f ca="1"/>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f ca="1"/>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f ca="1"/>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f ca="1"/>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f ca="1"/>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f ca="1"/>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f ca="1"/>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f ca="1"/>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f ca="1"/>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f ca="1"/>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f ca="1"/>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f ca="1"/>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f ca="1"/>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f ca="1"/>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f ca="1"/>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f ca="1"/>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f ca="1"/>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f ca="1"/>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f ca="1"/>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f ca="1"/>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f ca="1"/>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f ca="1"/>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f ca="1"/>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f ca="1"/>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f ca="1"/>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f ca="1"/>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f ca="1"/>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f ca="1"/>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f ca="1"/>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f ca="1"/>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f ca="1"/>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f ca="1"/>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f ca="1"/>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f ca="1"/>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f ca="1"/>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f ca="1"/>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f ca="1"/>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f ca="1"/>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f ca="1"/>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f ca="1"/>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f ca="1"/>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f ca="1"/>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f ca="1"/>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f ca="1"/>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f ca="1"/>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f ca="1"/>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f ca="1"/>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f ca="1"/>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f ca="1"/>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f ca="1"/>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f ca="1"/>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f ca="1"/>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f ca="1"/>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f ca="1"/>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f ca="1"/>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f ca="1"/>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f ca="1"/>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f ca="1"/>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f ca="1"/>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f ca="1"/>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f ca="1"/>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f ca="1"/>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f ca="1"/>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f ca="1"/>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f ca="1"/>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f ca="1"/>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f ca="1"/>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f ca="1"/>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f ca="1"/>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f ca="1"/>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f ca="1"/>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f ca="1"/>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f ca="1"/>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f ca="1"/>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f ca="1"/>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f ca="1"/>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f ca="1"/>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f ca="1"/>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f ca="1"/>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f ca="1"/>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f ca="1"/>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f ca="1"/>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f ca="1"/>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f ca="1"/>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f ca="1"/>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f ca="1"/>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f ca="1"/>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f ca="1"/>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f ca="1"/>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f ca="1"/>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f ca="1"/>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f ca="1"/>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f ca="1"/>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f ca="1"/>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f ca="1"/>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f ca="1"/>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f ca="1"/>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f ca="1"/>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f ca="1"/>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f ca="1"/>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f ca="1"/>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f ca="1"/>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f ca="1"/>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f ca="1"/>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f ca="1"/>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f ca="1"/>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f ca="1"/>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f ca="1"/>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f ca="1"/>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f ca="1"/>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f ca="1"/>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f ca="1"/>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f ca="1"/>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f ca="1"/>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f ca="1"/>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f ca="1"/>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f ca="1"/>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f ca="1"/>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f ca="1"/>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f ca="1"/>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f ca="1"/>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f ca="1"/>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f ca="1"/>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f ca="1"/>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f ca="1"/>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f ca="1"/>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f ca="1"/>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f ca="1"/>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f ca="1"/>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f ca="1"/>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f ca="1"/>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f ca="1"/>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f ca="1"/>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f ca="1"/>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f ca="1"/>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f ca="1"/>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f ca="1"/>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f ca="1"/>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f ca="1"/>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f ca="1"/>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f ca="1"/>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f ca="1"/>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f ca="1"/>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f ca="1"/>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f ca="1"/>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f ca="1"/>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f ca="1"/>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f ca="1"/>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f ca="1"/>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f ca="1"/>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f ca="1"/>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f ca="1"/>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f ca="1"/>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f ca="1"/>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f ca="1"/>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f ca="1"/>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f ca="1"/>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f ca="1"/>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f ca="1"/>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f ca="1"/>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f ca="1"/>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f ca="1"/>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f ca="1"/>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f ca="1"/>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f ca="1"/>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f ca="1"/>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f ca="1"/>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f ca="1"/>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f ca="1"/>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f ca="1"/>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f ca="1"/>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f ca="1"/>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f ca="1"/>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f ca="1"/>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f ca="1"/>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f ca="1"/>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f ca="1"/>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f ca="1"/>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f ca="1"/>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f ca="1"/>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f ca="1"/>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f ca="1"/>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f ca="1"/>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f ca="1"/>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f ca="1"/>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f ca="1"/>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f ca="1"/>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f ca="1"/>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f ca="1"/>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f ca="1"/>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f ca="1"/>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f ca="1"/>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f ca="1"/>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f ca="1"/>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f ca="1"/>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f ca="1"/>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f ca="1"/>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f ca="1"/>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f ca="1"/>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f ca="1"/>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f ca="1"/>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f ca="1"/>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f ca="1"/>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f ca="1"/>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f ca="1"/>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f ca="1"/>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f ca="1"/>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f ca="1"/>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f ca="1"/>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f ca="1"/>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f ca="1"/>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f ca="1"/>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f ca="1"/>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f ca="1"/>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f ca="1"/>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f ca="1"/>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f ca="1"/>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f ca="1"/>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f ca="1"/>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f ca="1"/>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f ca="1"/>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f ca="1"/>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f ca="1"/>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f ca="1"/>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f ca="1"/>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f ca="1"/>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f ca="1"/>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f ca="1"/>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f ca="1"/>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f ca="1"/>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f ca="1"/>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f ca="1"/>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f ca="1"/>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f ca="1"/>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f ca="1"/>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f ca="1"/>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f ca="1"/>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f ca="1"/>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f ca="1"/>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f ca="1"/>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f ca="1"/>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f ca="1"/>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f ca="1"/>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f ca="1"/>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f ca="1"/>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f ca="1"/>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f ca="1"/>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f ca="1"/>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f ca="1"/>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f ca="1"/>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f ca="1"/>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f ca="1"/>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f ca="1"/>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f ca="1"/>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f ca="1"/>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f ca="1"/>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f ca="1"/>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f ca="1"/>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f ca="1"/>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f ca="1"/>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f ca="1"/>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f ca="1"/>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f ca="1"/>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f ca="1"/>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f ca="1"/>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f ca="1"/>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f ca="1"/>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f ca="1"/>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f ca="1"/>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f ca="1"/>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f ca="1"/>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f ca="1"/>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f ca="1"/>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f ca="1"/>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f ca="1"/>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f ca="1"/>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f ca="1"/>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f ca="1"/>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f ca="1"/>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f ca="1"/>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f ca="1"/>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f ca="1"/>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f ca="1"/>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f ca="1"/>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f ca="1"/>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f ca="1"/>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f ca="1"/>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f ca="1"/>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f ca="1"/>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f ca="1"/>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f ca="1"/>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f ca="1"/>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f ca="1"/>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f ca="1"/>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f ca="1"/>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f ca="1"/>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f ca="1"/>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f ca="1"/>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f ca="1"/>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f ca="1"/>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f ca="1"/>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f ca="1"/>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f ca="1"/>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f ca="1"/>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f ca="1"/>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f ca="1"/>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f ca="1"/>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f ca="1"/>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f ca="1"/>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f ca="1"/>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f ca="1"/>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f ca="1"/>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f ca="1"/>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f ca="1"/>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f ca="1"/>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f ca="1"/>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f ca="1"/>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f ca="1"/>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f ca="1"/>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f ca="1"/>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f ca="1"/>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f ca="1"/>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f ca="1"/>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f ca="1"/>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f ca="1"/>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f ca="1"/>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f ca="1"/>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f ca="1"/>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f ca="1"/>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f ca="1"/>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f ca="1"/>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f ca="1"/>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f ca="1"/>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f ca="1"/>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f ca="1"/>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f ca="1"/>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f ca="1"/>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f ca="1"/>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f ca="1"/>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f ca="1"/>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f ca="1"/>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f ca="1"/>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f ca="1"/>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f ca="1"/>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f ca="1"/>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f ca="1"/>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f ca="1"/>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f ca="1"/>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f ca="1"/>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f ca="1"/>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f ca="1"/>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f ca="1"/>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f ca="1"/>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f ca="1"/>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f ca="1"/>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f ca="1"/>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f ca="1"/>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f ca="1"/>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f ca="1"/>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f ca="1"/>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f ca="1"/>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f ca="1"/>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f ca="1"/>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f ca="1"/>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f ca="1"/>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f ca="1"/>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f ca="1"/>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f ca="1"/>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f ca="1"/>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f ca="1"/>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f ca="1"/>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f ca="1"/>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f ca="1"/>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f ca="1"/>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f ca="1"/>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f ca="1"/>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f ca="1"/>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f ca="1"/>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f ca="1"/>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f ca="1"/>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f ca="1"/>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f ca="1"/>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f ca="1"/>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f ca="1"/>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f ca="1"/>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f ca="1"/>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f ca="1"/>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f ca="1"/>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f ca="1"/>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f ca="1"/>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f ca="1"/>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f ca="1"/>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f ca="1"/>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f ca="1"/>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f ca="1"/>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f ca="1"/>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f ca="1"/>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f ca="1"/>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f ca="1"/>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f ca="1"/>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f ca="1"/>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f ca="1"/>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f ca="1"/>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f ca="1"/>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f ca="1"/>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f ca="1"/>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f ca="1"/>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f ca="1"/>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f ca="1"/>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f ca="1"/>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f ca="1"/>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f ca="1"/>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f ca="1"/>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f ca="1"/>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f ca="1"/>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f ca="1"/>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f ca="1"/>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f ca="1"/>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f ca="1"/>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f ca="1"/>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f ca="1"/>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f ca="1"/>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f ca="1"/>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f ca="1"/>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f ca="1"/>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f ca="1"/>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f ca="1"/>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f ca="1"/>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f ca="1"/>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f ca="1"/>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f ca="1"/>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f ca="1"/>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f ca="1"/>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f ca="1"/>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f ca="1"/>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f ca="1"/>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f ca="1"/>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f ca="1"/>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f ca="1"/>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f ca="1"/>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f ca="1"/>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f ca="1"/>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f ca="1"/>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f ca="1"/>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f ca="1"/>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f ca="1"/>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f ca="1"/>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f ca="1"/>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f ca="1"/>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f ca="1"/>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f ca="1"/>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f ca="1"/>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f ca="1"/>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f ca="1"/>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f ca="1"/>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f ca="1"/>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f ca="1"/>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f ca="1"/>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f ca="1"/>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f ca="1"/>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f ca="1"/>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f ca="1"/>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f ca="1"/>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f ca="1"/>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f ca="1"/>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f ca="1"/>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f ca="1"/>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f ca="1"/>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f ca="1"/>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f ca="1"/>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f ca="1"/>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f ca="1"/>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f ca="1"/>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f ca="1"/>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f ca="1"/>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f ca="1"/>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f ca="1"/>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f ca="1"/>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f ca="1"/>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f ca="1"/>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f ca="1"/>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f ca="1"/>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f ca="1"/>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f ca="1"/>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f ca="1"/>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f ca="1"/>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f ca="1"/>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f ca="1"/>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f ca="1"/>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f ca="1"/>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f ca="1"/>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f ca="1"/>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f ca="1"/>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f ca="1"/>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f ca="1"/>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f ca="1"/>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f ca="1"/>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f ca="1"/>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f ca="1"/>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f ca="1"/>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f ca="1"/>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f ca="1"/>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f ca="1"/>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f ca="1"/>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f ca="1"/>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f ca="1"/>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f ca="1"/>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f ca="1"/>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f ca="1"/>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f ca="1"/>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f ca="1"/>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f ca="1"/>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f ca="1"/>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f ca="1"/>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f ca="1"/>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f ca="1"/>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f ca="1"/>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f ca="1"/>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f ca="1"/>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f ca="1"/>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f ca="1"/>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f ca="1"/>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f ca="1"/>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f ca="1"/>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f ca="1"/>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f ca="1"/>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f ca="1"/>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f ca="1"/>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f ca="1"/>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f ca="1"/>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f ca="1"/>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f ca="1"/>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f ca="1"/>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f ca="1"/>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f ca="1"/>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f ca="1"/>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f ca="1"/>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f ca="1"/>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f ca="1"/>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f ca="1"/>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f ca="1"/>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f ca="1"/>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f ca="1"/>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f ca="1"/>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f ca="1"/>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f ca="1"/>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f ca="1"/>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f ca="1"/>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f ca="1"/>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f ca="1"/>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f ca="1"/>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f ca="1"/>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f ca="1"/>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f ca="1"/>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f ca="1"/>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f ca="1"/>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f ca="1"/>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f ca="1"/>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f ca="1"/>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f ca="1"/>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f ca="1"/>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f ca="1"/>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f ca="1"/>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f ca="1"/>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f ca="1"/>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f ca="1"/>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f ca="1"/>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f ca="1"/>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f ca="1"/>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f ca="1"/>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f ca="1"/>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f ca="1"/>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f ca="1"/>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f ca="1"/>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f ca="1"/>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f ca="1"/>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f ca="1"/>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f ca="1"/>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f ca="1"/>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f ca="1"/>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f ca="1"/>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f ca="1"/>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f ca="1"/>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f ca="1"/>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f ca="1"/>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f ca="1"/>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f ca="1"/>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f ca="1"/>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f ca="1"/>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f ca="1"/>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f ca="1"/>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f ca="1"/>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f ca="1"/>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f ca="1"/>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f ca="1"/>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f ca="1"/>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f ca="1"/>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f ca="1"/>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f ca="1"/>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f ca="1"/>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f ca="1"/>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f ca="1"/>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f ca="1"/>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f ca="1"/>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f ca="1"/>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f ca="1"/>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f ca="1"/>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f ca="1"/>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f ca="1"/>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f ca="1"/>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f ca="1"/>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f ca="1"/>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f ca="1"/>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f ca="1"/>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f ca="1"/>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f ca="1"/>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f ca="1"/>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f ca="1"/>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f ca="1"/>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f ca="1"/>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f ca="1"/>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f ca="1"/>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f ca="1"/>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f ca="1"/>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f ca="1"/>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f ca="1"/>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f ca="1"/>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f ca="1"/>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f ca="1"/>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f ca="1"/>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f ca="1"/>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f ca="1"/>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f ca="1"/>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f ca="1"/>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f ca="1"/>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f ca="1"/>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f ca="1"/>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f ca="1"/>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f ca="1"/>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f ca="1"/>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f ca="1"/>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f ca="1"/>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f ca="1"/>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f ca="1"/>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f ca="1"/>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f ca="1"/>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f ca="1"/>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f ca="1"/>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f ca="1"/>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f ca="1"/>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f ca="1"/>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f ca="1"/>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f ca="1"/>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f ca="1"/>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f ca="1"/>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f ca="1"/>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f ca="1"/>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f ca="1"/>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f ca="1"/>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f ca="1"/>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f ca="1"/>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f ca="1"/>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f ca="1"/>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f ca="1"/>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f ca="1"/>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f ca="1"/>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f ca="1"/>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f ca="1"/>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f ca="1"/>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f ca="1"/>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f ca="1"/>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f ca="1"/>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f ca="1"/>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f ca="1"/>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f ca="1"/>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f ca="1"/>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f ca="1"/>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f ca="1"/>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f ca="1"/>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f ca="1"/>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f ca="1"/>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f ca="1"/>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f ca="1"/>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f ca="1"/>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f ca="1"/>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f ca="1"/>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f ca="1"/>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f ca="1"/>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f ca="1"/>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f ca="1"/>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f ca="1"/>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f ca="1"/>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f ca="1"/>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f ca="1"/>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f ca="1"/>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f ca="1"/>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f ca="1"/>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f ca="1"/>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f ca="1"/>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f ca="1"/>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f ca="1"/>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f ca="1"/>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f ca="1"/>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f ca="1"/>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f ca="1"/>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f ca="1"/>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f ca="1"/>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f ca="1"/>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f ca="1"/>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f ca="1"/>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f ca="1"/>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f ca="1"/>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f ca="1"/>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f ca="1"/>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f ca="1"/>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f ca="1"/>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f ca="1"/>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f ca="1"/>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f ca="1"/>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f ca="1"/>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f ca="1"/>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f ca="1"/>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f ca="1"/>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f ca="1"/>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f ca="1"/>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f ca="1"/>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f ca="1"/>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f ca="1"/>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f ca="1"/>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f ca="1"/>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f ca="1"/>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f ca="1"/>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f ca="1"/>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f ca="1"/>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f ca="1"/>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f ca="1"/>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f ca="1"/>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f ca="1"/>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f ca="1"/>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f ca="1"/>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f ca="1"/>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f ca="1"/>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f ca="1"/>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f ca="1"/>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f ca="1"/>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f ca="1"/>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f ca="1"/>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f ca="1"/>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f ca="1"/>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f ca="1"/>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f ca="1"/>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f ca="1"/>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f ca="1"/>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f ca="1"/>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f ca="1"/>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f ca="1"/>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f ca="1"/>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f ca="1"/>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f ca="1"/>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f ca="1"/>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f ca="1"/>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f ca="1"/>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f ca="1"/>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f ca="1"/>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f ca="1"/>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f ca="1"/>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f ca="1"/>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f ca="1"/>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f ca="1"/>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f ca="1"/>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f ca="1"/>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f ca="1"/>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f ca="1"/>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f ca="1"/>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f ca="1"/>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f ca="1"/>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f ca="1"/>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f ca="1"/>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f ca="1"/>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f ca="1"/>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f ca="1"/>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f ca="1"/>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f ca="1"/>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f ca="1"/>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f ca="1"/>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f ca="1"/>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f ca="1"/>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f ca="1"/>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f ca="1"/>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f ca="1"/>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f ca="1"/>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f ca="1"/>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f ca="1"/>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f ca="1"/>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f ca="1"/>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f ca="1"/>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f ca="1"/>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f ca="1"/>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f ca="1"/>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f ca="1"/>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f ca="1"/>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f ca="1"/>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f ca="1"/>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f ca="1"/>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f ca="1"/>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f ca="1"/>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f ca="1"/>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f ca="1"/>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f ca="1"/>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f ca="1"/>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f ca="1"/>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f ca="1"/>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f ca="1"/>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f ca="1"/>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f ca="1"/>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f ca="1"/>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f ca="1"/>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f ca="1"/>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f ca="1"/>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f ca="1"/>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f ca="1"/>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f ca="1"/>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f ca="1"/>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f ca="1"/>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f ca="1"/>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f ca="1"/>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f ca="1"/>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f ca="1"/>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f ca="1"/>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f ca="1"/>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f ca="1"/>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f ca="1"/>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f ca="1"/>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f ca="1"/>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f ca="1"/>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f ca="1"/>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f ca="1"/>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f ca="1"/>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f ca="1"/>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f ca="1"/>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f ca="1"/>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f ca="1"/>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f ca="1"/>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f ca="1"/>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f ca="1"/>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f ca="1"/>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f ca="1"/>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f ca="1"/>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f ca="1"/>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f ca="1"/>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f ca="1"/>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f ca="1"/>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f ca="1"/>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f ca="1"/>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f ca="1"/>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f ca="1"/>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f ca="1"/>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f ca="1"/>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f ca="1"/>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f ca="1"/>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f ca="1"/>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f ca="1"/>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f ca="1"/>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f ca="1"/>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f ca="1"/>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f ca="1"/>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f ca="1"/>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f ca="1"/>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f ca="1"/>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f ca="1"/>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f ca="1"/>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f ca="1"/>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f ca="1"/>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f ca="1"/>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f ca="1"/>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f ca="1"/>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f ca="1"/>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f ca="1"/>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f ca="1"/>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f ca="1"/>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f ca="1"/>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f ca="1"/>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f ca="1"/>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f ca="1"/>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f ca="1"/>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f ca="1"/>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f ca="1"/>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f ca="1"/>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f ca="1"/>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f ca="1"/>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f ca="1"/>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f ca="1"/>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f ca="1"/>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f ca="1"/>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f ca="1"/>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f ca="1"/>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f ca="1"/>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f ca="1"/>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f ca="1"/>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f ca="1"/>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f ca="1"/>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f ca="1"/>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f ca="1"/>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f ca="1"/>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f ca="1"/>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f ca="1"/>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f ca="1"/>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f ca="1"/>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f ca="1"/>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f ca="1"/>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f ca="1"/>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f ca="1"/>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f ca="1"/>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f ca="1"/>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f ca="1"/>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f ca="1"/>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f ca="1"/>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f ca="1"/>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f ca="1"/>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f ca="1"/>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f ca="1"/>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f ca="1"/>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f ca="1"/>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f ca="1"/>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f ca="1"/>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f ca="1"/>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f ca="1"/>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f ca="1"/>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f ca="1"/>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f ca="1"/>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f ca="1"/>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f ca="1"/>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f ca="1"/>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f ca="1"/>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f ca="1"/>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f ca="1"/>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f ca="1"/>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f ca="1"/>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f ca="1"/>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f ca="1"/>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f ca="1"/>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f ca="1"/>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f ca="1"/>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f ca="1"/>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f ca="1"/>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f ca="1"/>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f ca="1"/>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f ca="1"/>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f ca="1"/>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f ca="1"/>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f ca="1"/>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f ca="1"/>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f ca="1"/>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f ca="1"/>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f ca="1"/>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f ca="1"/>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f ca="1"/>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f ca="1"/>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f ca="1"/>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f ca="1"/>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f ca="1"/>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f ca="1"/>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f ca="1"/>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f ca="1"/>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f ca="1"/>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f ca="1"/>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f ca="1"/>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f ca="1"/>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f ca="1"/>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f ca="1"/>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f ca="1"/>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f ca="1"/>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f ca="1"/>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f ca="1"/>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f ca="1"/>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f ca="1"/>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f ca="1"/>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f ca="1"/>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f ca="1"/>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f ca="1"/>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f ca="1"/>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f ca="1"/>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f ca="1"/>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f ca="1"/>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f ca="1"/>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f ca="1"/>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f ca="1"/>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f ca="1"/>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f ca="1"/>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f ca="1"/>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f ca="1"/>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f ca="1"/>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f ca="1"/>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f ca="1"/>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f ca="1"/>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f ca="1"/>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f ca="1"/>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f ca="1"/>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f ca="1"/>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f ca="1"/>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f ca="1"/>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f ca="1"/>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f ca="1"/>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f ca="1"/>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f ca="1"/>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f ca="1"/>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f ca="1"/>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f ca="1"/>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f ca="1"/>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f ca="1"/>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f ca="1"/>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f ca="1"/>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f ca="1"/>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f ca="1"/>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f ca="1"/>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f ca="1"/>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f ca="1"/>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f ca="1"/>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f ca="1"/>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f ca="1"/>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f ca="1"/>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f ca="1"/>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f ca="1"/>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f ca="1"/>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f ca="1"/>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f ca="1"/>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f ca="1"/>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f ca="1"/>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f ca="1"/>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f ca="1"/>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f ca="1"/>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f ca="1"/>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f ca="1"/>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f ca="1"/>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f ca="1"/>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f ca="1"/>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f ca="1"/>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f ca="1"/>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f ca="1"/>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f ca="1"/>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f ca="1"/>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f ca="1"/>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f ca="1"/>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f ca="1"/>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f ca="1"/>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f ca="1"/>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f ca="1"/>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f ca="1"/>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f ca="1"/>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f ca="1"/>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f ca="1"/>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f ca="1"/>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f ca="1"/>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f ca="1"/>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f ca="1"/>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f ca="1"/>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f ca="1"/>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f ca="1"/>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f ca="1"/>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f ca="1"/>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f ca="1"/>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f ca="1"/>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f ca="1"/>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f ca="1"/>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f ca="1"/>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f ca="1"/>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f ca="1"/>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f ca="1"/>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f ca="1"/>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f ca="1"/>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f ca="1"/>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f ca="1"/>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f ca="1"/>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f ca="1"/>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f ca="1"/>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f ca="1"/>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f ca="1"/>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f ca="1"/>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f ca="1"/>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f ca="1"/>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f ca="1"/>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f ca="1"/>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f ca="1"/>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f ca="1"/>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f ca="1"/>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f ca="1"/>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f ca="1"/>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f ca="1"/>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f ca="1"/>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f ca="1"/>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f ca="1"/>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f ca="1"/>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f ca="1"/>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f ca="1"/>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f ca="1"/>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f ca="1"/>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f ca="1"/>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f ca="1"/>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f ca="1"/>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f ca="1"/>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f ca="1"/>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f ca="1"/>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f ca="1"/>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f ca="1"/>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f ca="1"/>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f ca="1"/>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f ca="1"/>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f ca="1"/>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f ca="1"/>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f ca="1"/>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f ca="1"/>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f ca="1"/>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f ca="1"/>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f ca="1"/>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f ca="1"/>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f ca="1"/>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f ca="1"/>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f ca="1"/>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f ca="1"/>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f ca="1"/>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f ca="1"/>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f ca="1"/>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f ca="1"/>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f ca="1"/>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f ca="1"/>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f ca="1"/>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f ca="1"/>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f ca="1"/>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f ca="1"/>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f ca="1"/>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f ca="1"/>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f ca="1"/>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f ca="1"/>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f ca="1"/>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f ca="1"/>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f ca="1"/>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f ca="1"/>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f ca="1"/>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f ca="1"/>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f ca="1"/>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f ca="1"/>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f ca="1"/>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f ca="1"/>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f ca="1"/>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f ca="1"/>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f ca="1"/>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f ca="1"/>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f ca="1"/>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f ca="1"/>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f ca="1"/>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f ca="1"/>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f ca="1"/>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f ca="1"/>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f ca="1"/>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f ca="1"/>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f ca="1"/>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f ca="1"/>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f ca="1"/>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f ca="1"/>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f ca="1"/>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f ca="1"/>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f ca="1"/>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f ca="1"/>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f ca="1"/>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f ca="1"/>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f ca="1"/>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f ca="1"/>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f ca="1"/>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f ca="1"/>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f ca="1"/>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f ca="1"/>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f ca="1"/>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f ca="1"/>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f ca="1"/>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f ca="1"/>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f ca="1"/>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f ca="1"/>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f ca="1"/>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f ca="1"/>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f ca="1"/>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f ca="1"/>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f ca="1"/>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f ca="1"/>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f ca="1"/>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f ca="1"/>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f ca="1"/>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f ca="1"/>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f ca="1"/>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f ca="1"/>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f ca="1"/>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f ca="1"/>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f ca="1"/>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f ca="1"/>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f ca="1"/>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f ca="1"/>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f ca="1"/>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f ca="1"/>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f ca="1"/>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f ca="1"/>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f ca="1"/>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f ca="1"/>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f ca="1"/>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f ca="1"/>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f ca="1"/>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f ca="1"/>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f ca="1"/>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f ca="1"/>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f ca="1"/>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f ca="1"/>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f ca="1"/>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f ca="1"/>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f ca="1"/>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f ca="1"/>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f ca="1"/>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f ca="1"/>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f ca="1"/>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f ca="1"/>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f ca="1"/>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f ca="1"/>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f ca="1"/>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f ca="1"/>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f ca="1"/>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f ca="1"/>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f ca="1"/>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f ca="1"/>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f ca="1"/>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f ca="1"/>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f ca="1"/>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f ca="1"/>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f ca="1"/>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f ca="1"/>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f ca="1"/>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f ca="1"/>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f ca="1"/>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f ca="1"/>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f ca="1"/>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f ca="1"/>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f ca="1"/>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f ca="1"/>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f ca="1"/>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f ca="1"/>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f ca="1"/>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f ca="1"/>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f ca="1"/>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f ca="1"/>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f ca="1"/>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f ca="1"/>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f ca="1"/>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f ca="1"/>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f ca="1"/>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f ca="1"/>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f ca="1"/>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f ca="1"/>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f ca="1"/>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f ca="1"/>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f ca="1"/>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f ca="1"/>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f ca="1"/>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f ca="1"/>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f ca="1"/>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f ca="1"/>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f ca="1"/>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f ca="1"/>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f ca="1"/>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f ca="1"/>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f ca="1"/>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f ca="1"/>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f ca="1"/>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f ca="1"/>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f ca="1"/>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f ca="1"/>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f ca="1"/>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f ca="1"/>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f ca="1"/>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f ca="1"/>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f ca="1"/>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f ca="1"/>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f ca="1"/>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f ca="1"/>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f ca="1"/>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f ca="1"/>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f ca="1"/>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f ca="1"/>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f ca="1"/>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f ca="1"/>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f ca="1"/>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f ca="1"/>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f ca="1"/>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f ca="1"/>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f ca="1"/>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f ca="1"/>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f ca="1"/>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f ca="1"/>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f ca="1"/>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f ca="1"/>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f ca="1"/>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f ca="1"/>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f ca="1"/>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f ca="1"/>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f ca="1"/>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f ca="1"/>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f ca="1"/>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f ca="1"/>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f ca="1"/>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f ca="1"/>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f ca="1"/>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f ca="1"/>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f ca="1"/>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f ca="1"/>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f ca="1"/>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f ca="1"/>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f ca="1"/>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f ca="1"/>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f ca="1"/>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f ca="1"/>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f ca="1"/>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f ca="1"/>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f ca="1"/>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f ca="1"/>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f ca="1"/>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f ca="1"/>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f ca="1"/>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f ca="1"/>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f ca="1"/>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f ca="1"/>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f ca="1"/>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f ca="1"/>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f ca="1"/>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f ca="1"/>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f ca="1"/>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f ca="1"/>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f ca="1"/>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f ca="1"/>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f ca="1"/>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f ca="1"/>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f ca="1"/>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f ca="1"/>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f ca="1"/>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f ca="1"/>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f ca="1"/>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f ca="1"/>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f ca="1"/>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f ca="1"/>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f ca="1"/>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f ca="1"/>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f ca="1"/>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f ca="1"/>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f ca="1"/>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f ca="1"/>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f ca="1"/>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f ca="1"/>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f ca="1"/>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f ca="1"/>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f ca="1"/>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f ca="1"/>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f ca="1"/>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f ca="1"/>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f ca="1"/>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f ca="1"/>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f ca="1"/>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f ca="1"/>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f ca="1"/>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f ca="1"/>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f ca="1"/>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f ca="1"/>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f ca="1"/>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f ca="1"/>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f ca="1"/>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f ca="1"/>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f ca="1"/>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f ca="1"/>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f ca="1"/>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f ca="1"/>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f ca="1"/>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f ca="1"/>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f ca="1"/>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f ca="1"/>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f ca="1"/>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f ca="1"/>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f ca="1"/>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f ca="1"/>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f ca="1"/>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f ca="1"/>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f ca="1"/>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f ca="1"/>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f ca="1"/>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f ca="1"/>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f ca="1"/>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f ca="1"/>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f ca="1"/>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f ca="1"/>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f ca="1"/>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f ca="1"/>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f ca="1"/>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f ca="1"/>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f ca="1"/>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f ca="1"/>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f ca="1"/>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f ca="1"/>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f ca="1"/>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f ca="1"/>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f ca="1"/>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f ca="1"/>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f ca="1"/>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f ca="1"/>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f ca="1"/>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f ca="1"/>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f ca="1"/>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f ca="1"/>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f ca="1"/>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f ca="1"/>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f ca="1"/>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f ca="1"/>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f ca="1"/>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f ca="1"/>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f ca="1"/>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f ca="1"/>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f ca="1"/>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f ca="1"/>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f ca="1"/>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f ca="1"/>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f ca="1"/>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f ca="1"/>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f ca="1"/>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f ca="1"/>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f ca="1"/>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f ca="1"/>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f ca="1"/>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f ca="1"/>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f ca="1"/>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f ca="1"/>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f ca="1"/>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f ca="1"/>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f ca="1"/>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f ca="1"/>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f ca="1"/>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f ca="1"/>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f ca="1"/>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f ca="1"/>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f ca="1"/>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f ca="1"/>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f ca="1"/>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f ca="1"/>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f ca="1"/>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f ca="1"/>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f ca="1"/>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f ca="1"/>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f ca="1"/>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f ca="1"/>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f ca="1"/>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f ca="1"/>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f ca="1"/>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f ca="1"/>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f ca="1"/>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f ca="1"/>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f ca="1"/>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f ca="1"/>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f ca="1"/>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f ca="1"/>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f ca="1"/>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f ca="1"/>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f ca="1"/>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f ca="1"/>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f ca="1"/>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f ca="1"/>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f ca="1"/>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f ca="1"/>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f ca="1"/>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f ca="1"/>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f ca="1"/>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f ca="1"/>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f ca="1"/>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f ca="1"/>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f ca="1"/>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f ca="1"/>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f ca="1"/>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f ca="1"/>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f ca="1"/>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f ca="1"/>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f ca="1"/>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f ca="1"/>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f ca="1"/>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f ca="1"/>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f ca="1"/>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f ca="1"/>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f ca="1"/>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f ca="1"/>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f ca="1"/>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f ca="1"/>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f ca="1"/>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f ca="1"/>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f ca="1"/>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f ca="1"/>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f ca="1"/>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f ca="1"/>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f ca="1"/>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f ca="1"/>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f ca="1"/>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f ca="1"/>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f ca="1"/>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f ca="1"/>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f ca="1"/>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f ca="1"/>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f ca="1"/>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f ca="1"/>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f ca="1"/>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f ca="1"/>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f ca="1"/>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f ca="1"/>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f ca="1"/>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f ca="1"/>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f ca="1"/>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f ca="1"/>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f ca="1"/>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f ca="1"/>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f ca="1"/>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f ca="1"/>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f ca="1"/>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f ca="1"/>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f ca="1"/>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f ca="1"/>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f ca="1"/>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f ca="1"/>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f ca="1"/>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f ca="1"/>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f ca="1"/>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f ca="1"/>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f ca="1"/>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f ca="1"/>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f ca="1"/>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f ca="1"/>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f ca="1"/>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f ca="1"/>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f ca="1"/>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f ca="1"/>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f ca="1"/>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f ca="1"/>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f ca="1"/>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f ca="1"/>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f ca="1"/>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f ca="1"/>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f ca="1"/>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f ca="1"/>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f ca="1"/>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f ca="1"/>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f ca="1"/>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f ca="1"/>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f ca="1"/>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f ca="1"/>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f ca="1"/>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f ca="1"/>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f ca="1"/>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f ca="1"/>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f ca="1"/>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f ca="1"/>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f ca="1"/>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f ca="1"/>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f ca="1"/>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f ca="1"/>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f ca="1"/>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f ca="1"/>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f ca="1"/>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f ca="1"/>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f ca="1"/>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f ca="1"/>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f ca="1"/>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f ca="1"/>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f ca="1"/>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f ca="1"/>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f ca="1"/>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f ca="1"/>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f ca="1"/>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f ca="1"/>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f ca="1"/>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f ca="1"/>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f ca="1"/>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f ca="1"/>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f ca="1"/>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f ca="1"/>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f ca="1"/>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f ca="1"/>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f ca="1"/>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f ca="1"/>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f ca="1"/>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f ca="1"/>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f ca="1"/>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f ca="1"/>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f ca="1"/>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f ca="1"/>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f ca="1"/>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f ca="1"/>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f ca="1"/>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f ca="1"/>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f ca="1"/>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f ca="1"/>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f ca="1"/>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f ca="1"/>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f ca="1"/>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f ca="1"/>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f ca="1"/>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f ca="1"/>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f ca="1"/>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f ca="1"/>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f ca="1"/>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f ca="1"/>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f ca="1"/>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f ca="1"/>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f ca="1"/>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f ca="1"/>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f ca="1"/>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f ca="1"/>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f ca="1"/>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f ca="1"/>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f ca="1"/>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f ca="1"/>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f ca="1"/>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f ca="1"/>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f ca="1"/>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f ca="1"/>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f ca="1"/>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f ca="1"/>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f ca="1"/>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f ca="1"/>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f ca="1"/>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f ca="1"/>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f ca="1"/>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f ca="1"/>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f ca="1"/>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f ca="1"/>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f ca="1"/>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f ca="1"/>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f ca="1"/>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f ca="1"/>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f ca="1"/>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f ca="1"/>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f ca="1"/>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f ca="1"/>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f ca="1"/>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f ca="1"/>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f ca="1"/>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f ca="1"/>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f ca="1"/>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f ca="1"/>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f ca="1"/>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f ca="1"/>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f ca="1"/>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f ca="1"/>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f ca="1"/>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f ca="1"/>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f ca="1"/>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f ca="1"/>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f ca="1"/>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f ca="1"/>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f ca="1"/>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f ca="1"/>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f ca="1"/>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f ca="1"/>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f ca="1"/>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f ca="1"/>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f ca="1"/>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f ca="1"/>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f ca="1"/>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f ca="1"/>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f ca="1"/>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f ca="1"/>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f ca="1"/>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f ca="1"/>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f ca="1"/>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f ca="1"/>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f ca="1"/>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f ca="1"/>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f ca="1"/>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f ca="1"/>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f ca="1"/>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f ca="1"/>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f ca="1"/>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f ca="1"/>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f ca="1"/>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f ca="1"/>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f ca="1"/>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f ca="1"/>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f ca="1"/>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f ca="1"/>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f ca="1"/>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f ca="1"/>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f ca="1"/>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f ca="1"/>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f ca="1"/>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f ca="1"/>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f ca="1"/>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f ca="1"/>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f ca="1"/>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f ca="1"/>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f ca="1"/>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f ca="1"/>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f ca="1"/>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f ca="1"/>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f ca="1"/>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f ca="1"/>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f ca="1"/>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f ca="1"/>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f ca="1"/>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f ca="1"/>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f ca="1"/>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f ca="1"/>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f ca="1"/>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f ca="1"/>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f ca="1"/>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f ca="1"/>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f ca="1"/>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f ca="1"/>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f ca="1"/>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f ca="1"/>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f ca="1"/>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f ca="1"/>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f ca="1"/>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f ca="1"/>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f ca="1"/>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f ca="1"/>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f ca="1"/>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f ca="1"/>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f ca="1"/>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f ca="1"/>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f ca="1"/>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f ca="1"/>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f ca="1"/>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f ca="1"/>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f ca="1"/>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f ca="1"/>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f ca="1"/>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f ca="1"/>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f ca="1"/>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f ca="1"/>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f ca="1"/>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f ca="1"/>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f ca="1"/>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f ca="1"/>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f ca="1"/>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f ca="1"/>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f ca="1"/>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f ca="1"/>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f ca="1"/>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f ca="1"/>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f ca="1"/>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f ca="1"/>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f ca="1"/>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f ca="1"/>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f ca="1"/>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f ca="1"/>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f ca="1"/>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f ca="1"/>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f ca="1"/>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f ca="1"/>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f ca="1"/>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f ca="1"/>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f ca="1"/>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f ca="1"/>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f ca="1"/>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f ca="1"/>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f ca="1"/>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f ca="1"/>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f ca="1"/>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f ca="1"/>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f ca="1"/>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f ca="1"/>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f ca="1"/>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f ca="1"/>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f ca="1"/>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f ca="1"/>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f ca="1"/>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f ca="1"/>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f ca="1"/>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f ca="1"/>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f ca="1"/>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f ca="1"/>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f ca="1"/>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f ca="1"/>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f ca="1"/>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f ca="1"/>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f ca="1"/>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f ca="1"/>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f ca="1"/>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f ca="1"/>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f ca="1"/>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f ca="1"/>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f ca="1"/>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f ca="1"/>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f ca="1"/>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f ca="1"/>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f ca="1"/>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f ca="1"/>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f ca="1"/>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f ca="1"/>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f ca="1"/>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f ca="1"/>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f ca="1"/>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f ca="1"/>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f ca="1"/>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f ca="1"/>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f ca="1"/>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f ca="1"/>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f ca="1"/>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f ca="1"/>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f ca="1"/>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f ca="1"/>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f ca="1"/>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f ca="1"/>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f ca="1"/>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f ca="1"/>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f ca="1"/>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f ca="1"/>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f ca="1"/>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f ca="1"/>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f ca="1"/>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f ca="1"/>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f ca="1"/>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f ca="1"/>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f ca="1"/>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f ca="1"/>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f ca="1"/>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f ca="1"/>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f ca="1"/>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f ca="1"/>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f ca="1"/>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f ca="1"/>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f ca="1"/>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f ca="1"/>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f ca="1"/>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f ca="1"/>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f ca="1"/>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f ca="1"/>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f ca="1"/>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f ca="1"/>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f ca="1"/>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f ca="1"/>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f ca="1"/>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f ca="1"/>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f ca="1"/>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f ca="1"/>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f ca="1"/>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f ca="1"/>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f ca="1"/>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f ca="1"/>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f ca="1"/>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f ca="1"/>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f ca="1"/>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f ca="1"/>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f ca="1"/>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f ca="1"/>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f ca="1"/>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f ca="1"/>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f ca="1"/>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f ca="1"/>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f ca="1"/>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f ca="1"/>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f ca="1"/>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f ca="1"/>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f ca="1"/>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f ca="1"/>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f ca="1"/>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f ca="1"/>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f ca="1"/>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f ca="1"/>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f ca="1"/>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f ca="1"/>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f ca="1"/>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f ca="1"/>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f ca="1"/>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f ca="1"/>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f ca="1"/>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f ca="1"/>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f ca="1"/>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f ca="1"/>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f ca="1"/>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f ca="1"/>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f ca="1"/>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f ca="1"/>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f ca="1"/>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f ca="1"/>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f ca="1"/>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f ca="1"/>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f ca="1"/>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f ca="1"/>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f ca="1"/>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f ca="1"/>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f ca="1"/>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f ca="1"/>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f ca="1"/>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f ca="1"/>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f ca="1"/>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f ca="1"/>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f ca="1"/>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f ca="1"/>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f ca="1"/>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f ca="1"/>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f ca="1"/>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f ca="1"/>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f ca="1"/>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f ca="1"/>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f ca="1"/>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f ca="1"/>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f ca="1"/>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f ca="1"/>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f ca="1"/>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f ca="1"/>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f ca="1"/>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f ca="1"/>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f ca="1"/>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f ca="1"/>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f ca="1"/>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f ca="1"/>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f ca="1"/>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f ca="1"/>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f ca="1"/>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f ca="1"/>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f ca="1"/>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f ca="1"/>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f ca="1"/>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f ca="1"/>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f ca="1"/>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f ca="1"/>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f ca="1"/>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f ca="1"/>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f ca="1"/>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f ca="1"/>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f ca="1"/>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f ca="1"/>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f ca="1"/>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f ca="1"/>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f ca="1"/>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f ca="1"/>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f ca="1"/>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f ca="1"/>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f ca="1"/>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f ca="1"/>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f ca="1"/>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f ca="1"/>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f ca="1"/>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f ca="1"/>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f ca="1"/>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2015-08-25T17:10:11Z</dcterms:modified>
</cp:coreProperties>
</file>