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90" windowWidth="22035" windowHeight="12075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K59" i="1" l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C33" i="1"/>
  <c r="C32" i="1"/>
  <c r="C31" i="1"/>
  <c r="C7" i="1"/>
  <c r="C21" i="1"/>
  <c r="C20" i="1"/>
  <c r="C19" i="1"/>
  <c r="C11" i="1"/>
  <c r="C10" i="1"/>
  <c r="C2" i="1"/>
  <c r="I46" i="1"/>
  <c r="I44" i="1"/>
  <c r="I42" i="1"/>
  <c r="I55" i="1"/>
  <c r="I43" i="1"/>
  <c r="I39" i="1"/>
  <c r="I56" i="1"/>
  <c r="I40" i="1"/>
  <c r="I57" i="1"/>
  <c r="I54" i="1"/>
  <c r="I36" i="1"/>
  <c r="I45" i="1"/>
  <c r="D21" i="1"/>
  <c r="I38" i="1"/>
  <c r="I35" i="1"/>
  <c r="I47" i="1"/>
  <c r="I37" i="1"/>
  <c r="I41" i="1"/>
  <c r="I58" i="1"/>
  <c r="I50" i="1"/>
  <c r="I49" i="1"/>
  <c r="I52" i="1"/>
  <c r="I48" i="1"/>
  <c r="I53" i="1"/>
  <c r="C9" i="1"/>
  <c r="I51" i="1"/>
  <c r="I59" i="1"/>
  <c r="L42" i="1"/>
  <c r="L35" i="1"/>
  <c r="L38" i="1"/>
  <c r="L46" i="1"/>
  <c r="L47" i="1"/>
  <c r="L50" i="1"/>
  <c r="L52" i="1"/>
  <c r="L39" i="1"/>
  <c r="L43" i="1"/>
  <c r="L49" i="1"/>
  <c r="L40" i="1"/>
  <c r="L36" i="1"/>
  <c r="L54" i="1"/>
  <c r="L58" i="1"/>
  <c r="L53" i="1"/>
  <c r="L37" i="1"/>
  <c r="L44" i="1"/>
  <c r="L48" i="1"/>
  <c r="L57" i="1"/>
  <c r="L56" i="1"/>
  <c r="L45" i="1"/>
  <c r="L59" i="1"/>
  <c r="L41" i="1"/>
  <c r="L51" i="1"/>
  <c r="L55" i="1"/>
  <c r="C22" i="1"/>
  <c r="C23" i="1"/>
  <c r="C24" i="1"/>
  <c r="C25" i="1"/>
  <c r="C26" i="1"/>
  <c r="C27" i="1"/>
  <c r="C28" i="1" s="1"/>
  <c r="D25" i="1" l="1"/>
  <c r="D28" i="1"/>
  <c r="C29" i="1" l="1"/>
  <c r="C30" i="1" s="1"/>
</calcChain>
</file>

<file path=xl/sharedStrings.xml><?xml version="1.0" encoding="utf-8"?>
<sst xmlns="http://schemas.openxmlformats.org/spreadsheetml/2006/main" count="45" uniqueCount="44">
  <si>
    <t>today's date</t>
  </si>
  <si>
    <t>calendar</t>
  </si>
  <si>
    <t>TARGET</t>
  </si>
  <si>
    <t>settlement date</t>
  </si>
  <si>
    <t>set evaluation date</t>
  </si>
  <si>
    <t>flatRate</t>
  </si>
  <si>
    <t>rhTermStructure</t>
  </si>
  <si>
    <t>fixedLegFrequency</t>
  </si>
  <si>
    <t>Annual</t>
  </si>
  <si>
    <t>fixedLegConvention</t>
  </si>
  <si>
    <t>Unadjusted</t>
  </si>
  <si>
    <t>floatingLegConvention</t>
  </si>
  <si>
    <t>fixedLegDayCounter</t>
  </si>
  <si>
    <t>floatingLegFrequency</t>
  </si>
  <si>
    <t>Semiannual</t>
  </si>
  <si>
    <t>type</t>
  </si>
  <si>
    <t>Payer</t>
  </si>
  <si>
    <t>dummyFixedRate</t>
  </si>
  <si>
    <t>indexSixMonths</t>
  </si>
  <si>
    <t>startDate</t>
  </si>
  <si>
    <t>Modified Following</t>
  </si>
  <si>
    <t>maturity</t>
  </si>
  <si>
    <t>fixedSchedule</t>
  </si>
  <si>
    <t>floatSchedule</t>
  </si>
  <si>
    <t>swap</t>
  </si>
  <si>
    <t>indexSixMonths-&gt;dayCounter()</t>
  </si>
  <si>
    <t>30/360 (Eurobond Basis)</t>
  </si>
  <si>
    <t>pricing engine</t>
  </si>
  <si>
    <t>setPricingEngine</t>
  </si>
  <si>
    <t>fixedATMRate</t>
  </si>
  <si>
    <t>fixedOTMRate</t>
  </si>
  <si>
    <t>fixedITMRate</t>
  </si>
  <si>
    <t>atmSwap</t>
  </si>
  <si>
    <t>otmSwap</t>
  </si>
  <si>
    <t>itmSwap</t>
  </si>
  <si>
    <t>swaptionMaturities</t>
  </si>
  <si>
    <t>i</t>
  </si>
  <si>
    <t>j</t>
  </si>
  <si>
    <t>k</t>
  </si>
  <si>
    <t>swaptionVols</t>
  </si>
  <si>
    <t>vol</t>
  </si>
  <si>
    <t>Period</t>
  </si>
  <si>
    <t>Handle&lt;Quote&gt;(vol)</t>
  </si>
  <si>
    <t>ql version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</si>
</sst>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dd\-mmm\-yyyy"/>
    <numFmt numFmtId="165" formatCode="_(* #,##0.0000_);_(* \(#,##0.0000\);_(* &quot;-&quot;??_);_(@_)"/>
    <numFmt numFmtId="166" formatCode="_(* #,##0.00000000_);_(* \(#,##0.00000000\);_(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8">
    <xf numFmtId="0" fontId="0" fillId="0" borderId="0" xfId="0"/>
    <xf numFmtId="164" fontId="0" fillId="0" borderId="0" xfId="0" applyNumberFormat="1"/>
    <xf numFmtId="43" fontId="0" fillId="0" borderId="0" xfId="1" applyFont="1"/>
    <xf numFmtId="165" fontId="0" fillId="0" borderId="0" xfId="1" applyNumberFormat="1" applyFont="1"/>
    <xf numFmtId="166" fontId="0" fillId="0" borderId="0" xfId="1" applyNumberFormat="1" applyFon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quotePrefix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L59"/>
  <sheetViews>
    <sheetView tabSelected="1" workbookViewId="0"/>
  </sheetViews>
  <sheetFormatPr defaultRowHeight="15" x14ac:dyDescent="0.25"/>
  <cols>
    <col min="2" max="2" width="29.28515625" bestFit="1" customWidth="1"/>
    <col min="3" max="3" width="20.85546875" bestFit="1" customWidth="1"/>
    <col min="4" max="4" width="12" bestFit="1" customWidth="1"/>
    <col min="8" max="8" width="13.140625" bestFit="1" customWidth="1"/>
    <col min="9" max="9" width="15.140625" bestFit="1" customWidth="1"/>
  </cols>
  <sheetData>
    <row r="2" spans="2:4" x14ac:dyDescent="0.25">
      <c r="B2" t="s">
        <v>43</v>
      </c>
      <c r="C2" t="str">
        <f>_xll.qlVersion()</f>
        <v>1.7</v>
      </c>
    </row>
    <row r="4" spans="2:4" x14ac:dyDescent="0.25">
      <c r="B4" t="s">
        <v>0</v>
      </c>
      <c r="C4" s="1">
        <v>37302</v>
      </c>
    </row>
    <row r="5" spans="2:4" x14ac:dyDescent="0.25">
      <c r="B5" t="s">
        <v>1</v>
      </c>
      <c r="C5" t="s">
        <v>2</v>
      </c>
    </row>
    <row r="6" spans="2:4" x14ac:dyDescent="0.25">
      <c r="B6" t="s">
        <v>3</v>
      </c>
      <c r="C6" s="1">
        <v>37306</v>
      </c>
    </row>
    <row r="7" spans="2:4" x14ac:dyDescent="0.25">
      <c r="B7" t="s">
        <v>4</v>
      </c>
      <c r="C7" s="7" t="b">
        <f>_xll.qlSettingsSetEvaluationDate(,C4)</f>
        <v>1</v>
      </c>
    </row>
    <row r="8" spans="2:4" x14ac:dyDescent="0.25">
      <c r="C8" s="7">
        <v>4.8758250000000003E-2</v>
      </c>
    </row>
    <row r="9" spans="2:4" x14ac:dyDescent="0.25">
      <c r="B9" t="s">
        <v>5</v>
      </c>
      <c r="C9" t="str">
        <f>_xll.qlSimpleQuote(C7,B9,,,C8)</f>
        <v>flatRate#0005</v>
      </c>
      <c r="D9" s="4"/>
    </row>
    <row r="10" spans="2:4" x14ac:dyDescent="0.25">
      <c r="C10" t="str">
        <f>_xll.qlFlatForward(,,,,,C8,"Actual/365 (Fixed)")</f>
        <v>obj_00005#0004</v>
      </c>
    </row>
    <row r="11" spans="2:4" x14ac:dyDescent="0.25">
      <c r="B11" t="s">
        <v>6</v>
      </c>
      <c r="C11" t="str">
        <f>_xll.qlRelinkableHandleYieldTermStructure(,B11,,,C10)</f>
        <v>rhTermStructure#0007</v>
      </c>
    </row>
    <row r="12" spans="2:4" x14ac:dyDescent="0.25">
      <c r="B12" t="s">
        <v>7</v>
      </c>
      <c r="C12" t="s">
        <v>8</v>
      </c>
    </row>
    <row r="13" spans="2:4" x14ac:dyDescent="0.25">
      <c r="B13" t="s">
        <v>9</v>
      </c>
      <c r="C13" t="s">
        <v>10</v>
      </c>
    </row>
    <row r="14" spans="2:4" x14ac:dyDescent="0.25">
      <c r="B14" t="s">
        <v>11</v>
      </c>
      <c r="C14" t="s">
        <v>20</v>
      </c>
    </row>
    <row r="15" spans="2:4" x14ac:dyDescent="0.25">
      <c r="B15" t="s">
        <v>12</v>
      </c>
      <c r="C15" t="s">
        <v>26</v>
      </c>
    </row>
    <row r="16" spans="2:4" x14ac:dyDescent="0.25">
      <c r="B16" t="s">
        <v>13</v>
      </c>
      <c r="C16" t="s">
        <v>14</v>
      </c>
    </row>
    <row r="17" spans="2:4" x14ac:dyDescent="0.25">
      <c r="B17" t="s">
        <v>15</v>
      </c>
      <c r="C17" t="s">
        <v>16</v>
      </c>
    </row>
    <row r="18" spans="2:4" x14ac:dyDescent="0.25">
      <c r="B18" t="s">
        <v>17</v>
      </c>
      <c r="C18" s="2">
        <v>0.03</v>
      </c>
    </row>
    <row r="19" spans="2:4" x14ac:dyDescent="0.25">
      <c r="B19" t="s">
        <v>18</v>
      </c>
      <c r="C19" t="str">
        <f>_xll.qlEuribor(,B19,,,"6M",C11)</f>
        <v>indexSixMonths#0011</v>
      </c>
    </row>
    <row r="20" spans="2:4" x14ac:dyDescent="0.25">
      <c r="B20" t="s">
        <v>25</v>
      </c>
      <c r="C20" t="str">
        <f>_xll.qlInterestRateIndexDayCounter(,C19)</f>
        <v>Actual/360</v>
      </c>
    </row>
    <row r="21" spans="2:4" x14ac:dyDescent="0.25">
      <c r="B21" t="s">
        <v>19</v>
      </c>
      <c r="C21" s="1">
        <f>_xll.qlCalendarAdvance(C7,C5,C6,"1Y",C14)</f>
        <v>37671</v>
      </c>
      <c r="D21" t="str">
        <f>_xll.ohRangeRetrieveError(C21)</f>
        <v/>
      </c>
    </row>
    <row r="22" spans="2:4" x14ac:dyDescent="0.25">
      <c r="B22" t="s">
        <v>21</v>
      </c>
      <c r="C22" s="1">
        <f>_xll.qlCalendarAdvance(,C5,C21,"5Y",C14)</f>
        <v>39497</v>
      </c>
    </row>
    <row r="23" spans="2:4" x14ac:dyDescent="0.25">
      <c r="B23" t="s">
        <v>22</v>
      </c>
      <c r="C23" t="str">
        <f>_xll.qlSchedule(,B23,,,C21,C22,"1Y",C5,C13,C13,"Forward")</f>
        <v>fixedSchedule#0008</v>
      </c>
    </row>
    <row r="24" spans="2:4" x14ac:dyDescent="0.25">
      <c r="B24" t="s">
        <v>23</v>
      </c>
      <c r="C24" t="str">
        <f>_xll.qlSchedule(,B24,,,C21,C22,"6M",C5,C14,C14,"Forward")</f>
        <v>floatSchedule#0008</v>
      </c>
    </row>
    <row r="25" spans="2:4" x14ac:dyDescent="0.25">
      <c r="B25" t="s">
        <v>24</v>
      </c>
      <c r="C25" t="str">
        <f>_xll.qlVanillaSwap(,B25,,,C17,1000,C23,C18,C15,C24,C19,0,C20)</f>
        <v>swap#0027</v>
      </c>
      <c r="D25" t="str">
        <f>_xll.ohRangeRetrieveError(C25)</f>
        <v/>
      </c>
    </row>
    <row r="26" spans="2:4" x14ac:dyDescent="0.25">
      <c r="B26" t="s">
        <v>27</v>
      </c>
      <c r="C26" t="str">
        <f>_xll.qlDiscountingSwapEngine(C25,,,,C11)</f>
        <v>obj_00020#0020</v>
      </c>
    </row>
    <row r="27" spans="2:4" x14ac:dyDescent="0.25">
      <c r="B27" t="s">
        <v>28</v>
      </c>
      <c r="C27" t="b">
        <f>_xll.qlInstrumentSetPricingEngine(,C25,C26)</f>
        <v>1</v>
      </c>
    </row>
    <row r="28" spans="2:4" x14ac:dyDescent="0.25">
      <c r="B28" t="s">
        <v>29</v>
      </c>
      <c r="C28">
        <f>_xll.qlVanillaSwapFairRate(C27,C25)</f>
        <v>5.0000005910246753E-2</v>
      </c>
      <c r="D28" t="str">
        <f>_xll.ohRangeRetrieveError(C28)</f>
        <v/>
      </c>
    </row>
    <row r="29" spans="2:4" x14ac:dyDescent="0.25">
      <c r="B29" t="s">
        <v>30</v>
      </c>
      <c r="C29">
        <f>C28*1.2</f>
        <v>6.0000007092296102E-2</v>
      </c>
    </row>
    <row r="30" spans="2:4" x14ac:dyDescent="0.25">
      <c r="B30" t="s">
        <v>31</v>
      </c>
      <c r="C30">
        <f>C29*0.8</f>
        <v>4.8000005673836887E-2</v>
      </c>
    </row>
    <row r="31" spans="2:4" x14ac:dyDescent="0.25">
      <c r="B31" t="s">
        <v>32</v>
      </c>
      <c r="C31" t="str">
        <f>_xll.qlVanillaSwap(,B31,,,C17,1000,C23,C28,C15,C24,C19,0,C20)</f>
        <v>atmSwap#0000</v>
      </c>
    </row>
    <row r="32" spans="2:4" x14ac:dyDescent="0.25">
      <c r="B32" t="s">
        <v>33</v>
      </c>
      <c r="C32" t="str">
        <f>_xll.qlVanillaSwap(,B32,,,C17,1000,C23,C29,C15,C24,C19,0,C20)</f>
        <v>otmSwap#0000</v>
      </c>
    </row>
    <row r="33" spans="2:12" x14ac:dyDescent="0.25">
      <c r="B33" t="s">
        <v>34</v>
      </c>
      <c r="C33" t="str">
        <f>_xll.qlVanillaSwap(,B33,,,C17,1000,C23,C30,C15,C24,C19,0,C20)</f>
        <v>itmSwap#0000</v>
      </c>
    </row>
    <row r="34" spans="2:12" x14ac:dyDescent="0.25">
      <c r="B34" t="s">
        <v>35</v>
      </c>
      <c r="E34" s="5" t="s">
        <v>36</v>
      </c>
      <c r="F34" s="5" t="s">
        <v>37</v>
      </c>
      <c r="G34" s="5" t="s">
        <v>38</v>
      </c>
      <c r="H34" s="6" t="s">
        <v>39</v>
      </c>
      <c r="I34" s="5" t="s">
        <v>40</v>
      </c>
      <c r="J34" s="6" t="s">
        <v>35</v>
      </c>
      <c r="K34" s="5" t="s">
        <v>41</v>
      </c>
      <c r="L34" s="6" t="s">
        <v>42</v>
      </c>
    </row>
    <row r="35" spans="2:12" x14ac:dyDescent="0.25">
      <c r="E35">
        <v>0</v>
      </c>
      <c r="F35">
        <v>0</v>
      </c>
      <c r="G35">
        <f t="shared" ref="G35:G59" si="0">E35*5+F35</f>
        <v>0</v>
      </c>
      <c r="H35" s="3">
        <v>0.14899999999999999</v>
      </c>
      <c r="I35" t="str">
        <f>_xll.qlSimpleQuote(,H35)</f>
        <v>0.149#0003</v>
      </c>
      <c r="J35" t="str">
        <f>(E35+1)&amp;"Y"</f>
        <v>1Y</v>
      </c>
      <c r="K35" t="str">
        <f>(F35+1)&amp;"Y"</f>
        <v>1Y</v>
      </c>
      <c r="L35" t="e">
        <f ca="1">_xll.qlRelinkableHandleQuote(,I35)</f>
        <v>#NAME?</v>
      </c>
    </row>
    <row r="36" spans="2:12" x14ac:dyDescent="0.25">
      <c r="E36">
        <v>0</v>
      </c>
      <c r="F36">
        <v>1</v>
      </c>
      <c r="G36">
        <f t="shared" si="0"/>
        <v>1</v>
      </c>
      <c r="H36" s="3">
        <v>0.13400000000000001</v>
      </c>
      <c r="I36" t="str">
        <f>_xll.qlSimpleQuote(,H36)</f>
        <v>0.134#0003</v>
      </c>
      <c r="J36" t="str">
        <f t="shared" ref="J36:J59" si="1">(E36+1)&amp;"Y"</f>
        <v>1Y</v>
      </c>
      <c r="K36" t="str">
        <f t="shared" ref="K36:K59" si="2">(F36+1)&amp;"Y"</f>
        <v>2Y</v>
      </c>
      <c r="L36" t="e">
        <f ca="1">_xll.qlRelinkableHandleQuote(,I36)</f>
        <v>#NAME?</v>
      </c>
    </row>
    <row r="37" spans="2:12" x14ac:dyDescent="0.25">
      <c r="E37">
        <v>0</v>
      </c>
      <c r="F37">
        <v>2</v>
      </c>
      <c r="G37">
        <f t="shared" si="0"/>
        <v>2</v>
      </c>
      <c r="H37" s="3">
        <v>0.12280000000000001</v>
      </c>
      <c r="I37" t="str">
        <f>_xll.qlSimpleQuote(,H37)</f>
        <v>0.1228#0003</v>
      </c>
      <c r="J37" t="str">
        <f t="shared" si="1"/>
        <v>1Y</v>
      </c>
      <c r="K37" t="str">
        <f t="shared" si="2"/>
        <v>3Y</v>
      </c>
      <c r="L37" t="e">
        <f ca="1">_xll.qlRelinkableHandleQuote(,I37)</f>
        <v>#NAME?</v>
      </c>
    </row>
    <row r="38" spans="2:12" x14ac:dyDescent="0.25">
      <c r="E38">
        <v>0</v>
      </c>
      <c r="F38">
        <v>3</v>
      </c>
      <c r="G38">
        <f t="shared" si="0"/>
        <v>3</v>
      </c>
      <c r="H38" s="3">
        <v>0.11890000000000001</v>
      </c>
      <c r="I38" t="str">
        <f>_xll.qlSimpleQuote(,H38)</f>
        <v>0.1189#0003</v>
      </c>
      <c r="J38" t="str">
        <f t="shared" si="1"/>
        <v>1Y</v>
      </c>
      <c r="K38" t="str">
        <f t="shared" si="2"/>
        <v>4Y</v>
      </c>
      <c r="L38" t="e">
        <f ca="1">_xll.qlRelinkableHandleQuote(,I38)</f>
        <v>#NAME?</v>
      </c>
    </row>
    <row r="39" spans="2:12" x14ac:dyDescent="0.25">
      <c r="E39">
        <v>0</v>
      </c>
      <c r="F39">
        <v>4</v>
      </c>
      <c r="G39">
        <f t="shared" si="0"/>
        <v>4</v>
      </c>
      <c r="H39" s="3">
        <v>0.1148</v>
      </c>
      <c r="I39" t="str">
        <f>_xll.qlSimpleQuote(,H39)</f>
        <v>0.1148#0003</v>
      </c>
      <c r="J39" t="str">
        <f t="shared" si="1"/>
        <v>1Y</v>
      </c>
      <c r="K39" t="str">
        <f t="shared" si="2"/>
        <v>5Y</v>
      </c>
      <c r="L39" t="e">
        <f ca="1">_xll.qlRelinkableHandleQuote(,I39)</f>
        <v>#NAME?</v>
      </c>
    </row>
    <row r="40" spans="2:12" x14ac:dyDescent="0.25">
      <c r="E40">
        <v>1</v>
      </c>
      <c r="F40">
        <v>0</v>
      </c>
      <c r="G40">
        <f t="shared" si="0"/>
        <v>5</v>
      </c>
      <c r="H40" s="3">
        <v>0.129</v>
      </c>
      <c r="I40" t="str">
        <f>_xll.qlSimpleQuote(,H40)</f>
        <v>0.129#0003</v>
      </c>
      <c r="J40" t="str">
        <f t="shared" si="1"/>
        <v>2Y</v>
      </c>
      <c r="K40" t="str">
        <f t="shared" si="2"/>
        <v>1Y</v>
      </c>
      <c r="L40" t="e">
        <f ca="1">_xll.qlRelinkableHandleQuote(,I40)</f>
        <v>#NAME?</v>
      </c>
    </row>
    <row r="41" spans="2:12" x14ac:dyDescent="0.25">
      <c r="E41">
        <v>1</v>
      </c>
      <c r="F41">
        <v>1</v>
      </c>
      <c r="G41">
        <f t="shared" si="0"/>
        <v>6</v>
      </c>
      <c r="H41" s="3">
        <v>0.1201</v>
      </c>
      <c r="I41" t="str">
        <f>_xll.qlSimpleQuote(,H41)</f>
        <v>0.1201#0003</v>
      </c>
      <c r="J41" t="str">
        <f t="shared" si="1"/>
        <v>2Y</v>
      </c>
      <c r="K41" t="str">
        <f t="shared" si="2"/>
        <v>2Y</v>
      </c>
      <c r="L41" t="e">
        <f ca="1">_xll.qlRelinkableHandleQuote(,I41)</f>
        <v>#NAME?</v>
      </c>
    </row>
    <row r="42" spans="2:12" x14ac:dyDescent="0.25">
      <c r="E42">
        <v>1</v>
      </c>
      <c r="F42">
        <v>2</v>
      </c>
      <c r="G42">
        <f t="shared" si="0"/>
        <v>7</v>
      </c>
      <c r="H42" s="3">
        <v>0.11459999999999999</v>
      </c>
      <c r="I42" t="str">
        <f>_xll.qlSimpleQuote(,H42)</f>
        <v>0.1146#0003</v>
      </c>
      <c r="J42" t="str">
        <f t="shared" si="1"/>
        <v>2Y</v>
      </c>
      <c r="K42" t="str">
        <f t="shared" si="2"/>
        <v>3Y</v>
      </c>
      <c r="L42" t="e">
        <f ca="1">_xll.qlRelinkableHandleQuote(,I42)</f>
        <v>#NAME?</v>
      </c>
    </row>
    <row r="43" spans="2:12" x14ac:dyDescent="0.25">
      <c r="E43">
        <v>1</v>
      </c>
      <c r="F43">
        <v>3</v>
      </c>
      <c r="G43">
        <f t="shared" si="0"/>
        <v>8</v>
      </c>
      <c r="H43" s="3">
        <v>0.1108</v>
      </c>
      <c r="I43" t="str">
        <f>_xll.qlSimpleQuote(,H43)</f>
        <v>0.1108#0003</v>
      </c>
      <c r="J43" t="str">
        <f t="shared" si="1"/>
        <v>2Y</v>
      </c>
      <c r="K43" t="str">
        <f t="shared" si="2"/>
        <v>4Y</v>
      </c>
      <c r="L43" t="e">
        <f ca="1">_xll.qlRelinkableHandleQuote(,I43)</f>
        <v>#NAME?</v>
      </c>
    </row>
    <row r="44" spans="2:12" x14ac:dyDescent="0.25">
      <c r="E44">
        <v>1</v>
      </c>
      <c r="F44">
        <v>4</v>
      </c>
      <c r="G44">
        <f t="shared" si="0"/>
        <v>9</v>
      </c>
      <c r="H44" s="3">
        <v>0.104</v>
      </c>
      <c r="I44" t="str">
        <f>_xll.qlSimpleQuote(,H44)</f>
        <v>0.104#0003</v>
      </c>
      <c r="J44" t="str">
        <f t="shared" si="1"/>
        <v>2Y</v>
      </c>
      <c r="K44" t="str">
        <f t="shared" si="2"/>
        <v>5Y</v>
      </c>
      <c r="L44" t="e">
        <f ca="1">_xll.qlRelinkableHandleQuote(,I44)</f>
        <v>#NAME?</v>
      </c>
    </row>
    <row r="45" spans="2:12" x14ac:dyDescent="0.25">
      <c r="E45">
        <v>2</v>
      </c>
      <c r="F45">
        <v>0</v>
      </c>
      <c r="G45">
        <f t="shared" si="0"/>
        <v>10</v>
      </c>
      <c r="H45" s="3">
        <v>0.1149</v>
      </c>
      <c r="I45" t="str">
        <f>_xll.qlSimpleQuote(,H45)</f>
        <v>0.1149#0003</v>
      </c>
      <c r="J45" t="str">
        <f t="shared" si="1"/>
        <v>3Y</v>
      </c>
      <c r="K45" t="str">
        <f t="shared" si="2"/>
        <v>1Y</v>
      </c>
      <c r="L45" t="e">
        <f ca="1">_xll.qlRelinkableHandleQuote(,I45)</f>
        <v>#NAME?</v>
      </c>
    </row>
    <row r="46" spans="2:12" x14ac:dyDescent="0.25">
      <c r="E46">
        <v>2</v>
      </c>
      <c r="F46">
        <v>1</v>
      </c>
      <c r="G46">
        <f t="shared" si="0"/>
        <v>11</v>
      </c>
      <c r="H46" s="3">
        <v>0.11119999999999999</v>
      </c>
      <c r="I46" t="str">
        <f>_xll.qlSimpleQuote(,H46)</f>
        <v>0.1112#0003</v>
      </c>
      <c r="J46" t="str">
        <f t="shared" si="1"/>
        <v>3Y</v>
      </c>
      <c r="K46" t="str">
        <f t="shared" si="2"/>
        <v>2Y</v>
      </c>
      <c r="L46" t="e">
        <f ca="1">_xll.qlRelinkableHandleQuote(,I46)</f>
        <v>#NAME?</v>
      </c>
    </row>
    <row r="47" spans="2:12" x14ac:dyDescent="0.25">
      <c r="E47">
        <v>2</v>
      </c>
      <c r="F47">
        <v>2</v>
      </c>
      <c r="G47">
        <f t="shared" si="0"/>
        <v>12</v>
      </c>
      <c r="H47" s="3">
        <v>0.107</v>
      </c>
      <c r="I47" t="str">
        <f>_xll.qlSimpleQuote(,H47)</f>
        <v>0.107#0003</v>
      </c>
      <c r="J47" t="str">
        <f t="shared" si="1"/>
        <v>3Y</v>
      </c>
      <c r="K47" t="str">
        <f t="shared" si="2"/>
        <v>3Y</v>
      </c>
      <c r="L47" t="e">
        <f ca="1">_xll.qlRelinkableHandleQuote(,I47)</f>
        <v>#NAME?</v>
      </c>
    </row>
    <row r="48" spans="2:12" x14ac:dyDescent="0.25">
      <c r="E48">
        <v>2</v>
      </c>
      <c r="F48">
        <v>3</v>
      </c>
      <c r="G48">
        <f t="shared" si="0"/>
        <v>13</v>
      </c>
      <c r="H48" s="3">
        <v>0.10100000000000001</v>
      </c>
      <c r="I48" t="str">
        <f>_xll.qlSimpleQuote(,H48)</f>
        <v>0.101#0003</v>
      </c>
      <c r="J48" t="str">
        <f t="shared" si="1"/>
        <v>3Y</v>
      </c>
      <c r="K48" t="str">
        <f t="shared" si="2"/>
        <v>4Y</v>
      </c>
      <c r="L48" t="e">
        <f ca="1">_xll.qlRelinkableHandleQuote(,I48)</f>
        <v>#NAME?</v>
      </c>
    </row>
    <row r="49" spans="5:12" x14ac:dyDescent="0.25">
      <c r="E49">
        <v>2</v>
      </c>
      <c r="F49">
        <v>4</v>
      </c>
      <c r="G49">
        <f t="shared" si="0"/>
        <v>14</v>
      </c>
      <c r="H49" s="3">
        <v>9.5699999999999993E-2</v>
      </c>
      <c r="I49" t="str">
        <f>_xll.qlSimpleQuote(,H49)</f>
        <v>0.0957#0003</v>
      </c>
      <c r="J49" t="str">
        <f t="shared" si="1"/>
        <v>3Y</v>
      </c>
      <c r="K49" t="str">
        <f t="shared" si="2"/>
        <v>5Y</v>
      </c>
      <c r="L49" t="e">
        <f ca="1">_xll.qlRelinkableHandleQuote(,I49)</f>
        <v>#NAME?</v>
      </c>
    </row>
    <row r="50" spans="5:12" x14ac:dyDescent="0.25">
      <c r="E50">
        <v>3</v>
      </c>
      <c r="F50">
        <v>0</v>
      </c>
      <c r="G50">
        <f t="shared" si="0"/>
        <v>15</v>
      </c>
      <c r="H50" s="3">
        <v>0.1047</v>
      </c>
      <c r="I50" t="str">
        <f>_xll.qlSimpleQuote(,H50)</f>
        <v>0.1047#0003</v>
      </c>
      <c r="J50" t="str">
        <f t="shared" si="1"/>
        <v>4Y</v>
      </c>
      <c r="K50" t="str">
        <f t="shared" si="2"/>
        <v>1Y</v>
      </c>
      <c r="L50" t="e">
        <f ca="1">_xll.qlRelinkableHandleQuote(,I50)</f>
        <v>#NAME?</v>
      </c>
    </row>
    <row r="51" spans="5:12" x14ac:dyDescent="0.25">
      <c r="E51">
        <v>3</v>
      </c>
      <c r="F51">
        <v>1</v>
      </c>
      <c r="G51">
        <f t="shared" si="0"/>
        <v>16</v>
      </c>
      <c r="H51" s="3">
        <v>0.1021</v>
      </c>
      <c r="I51" t="str">
        <f>_xll.qlSimpleQuote(,H51)</f>
        <v>0.1021#0003</v>
      </c>
      <c r="J51" t="str">
        <f t="shared" si="1"/>
        <v>4Y</v>
      </c>
      <c r="K51" t="str">
        <f t="shared" si="2"/>
        <v>2Y</v>
      </c>
      <c r="L51" t="e">
        <f ca="1">_xll.qlRelinkableHandleQuote(,I51)</f>
        <v>#NAME?</v>
      </c>
    </row>
    <row r="52" spans="5:12" x14ac:dyDescent="0.25">
      <c r="E52">
        <v>3</v>
      </c>
      <c r="F52">
        <v>2</v>
      </c>
      <c r="G52">
        <f t="shared" si="0"/>
        <v>17</v>
      </c>
      <c r="H52" s="3">
        <v>9.8000000000000004E-2</v>
      </c>
      <c r="I52" t="str">
        <f>_xll.qlSimpleQuote(,H52)</f>
        <v>0.098#0003</v>
      </c>
      <c r="J52" t="str">
        <f t="shared" si="1"/>
        <v>4Y</v>
      </c>
      <c r="K52" t="str">
        <f t="shared" si="2"/>
        <v>3Y</v>
      </c>
      <c r="L52" t="e">
        <f ca="1">_xll.qlRelinkableHandleQuote(,I52)</f>
        <v>#NAME?</v>
      </c>
    </row>
    <row r="53" spans="5:12" x14ac:dyDescent="0.25">
      <c r="E53">
        <v>3</v>
      </c>
      <c r="F53">
        <v>3</v>
      </c>
      <c r="G53">
        <f t="shared" si="0"/>
        <v>18</v>
      </c>
      <c r="H53" s="3">
        <v>9.5100000000000004E-2</v>
      </c>
      <c r="I53" t="str">
        <f>_xll.qlSimpleQuote(,H53)</f>
        <v>0.0951#0003</v>
      </c>
      <c r="J53" t="str">
        <f t="shared" si="1"/>
        <v>4Y</v>
      </c>
      <c r="K53" t="str">
        <f t="shared" si="2"/>
        <v>4Y</v>
      </c>
      <c r="L53" t="e">
        <f ca="1">_xll.qlRelinkableHandleQuote(,I53)</f>
        <v>#NAME?</v>
      </c>
    </row>
    <row r="54" spans="5:12" x14ac:dyDescent="0.25">
      <c r="E54">
        <v>3</v>
      </c>
      <c r="F54">
        <v>4</v>
      </c>
      <c r="G54">
        <f t="shared" si="0"/>
        <v>19</v>
      </c>
      <c r="H54" s="3">
        <v>0.127</v>
      </c>
      <c r="I54" t="str">
        <f>_xll.qlSimpleQuote(,H54)</f>
        <v>0.127#0003</v>
      </c>
      <c r="J54" t="str">
        <f t="shared" si="1"/>
        <v>4Y</v>
      </c>
      <c r="K54" t="str">
        <f t="shared" si="2"/>
        <v>5Y</v>
      </c>
      <c r="L54" t="e">
        <f ca="1">_xll.qlRelinkableHandleQuote(,I54)</f>
        <v>#NAME?</v>
      </c>
    </row>
    <row r="55" spans="5:12" x14ac:dyDescent="0.25">
      <c r="E55">
        <v>4</v>
      </c>
      <c r="F55">
        <v>0</v>
      </c>
      <c r="G55">
        <f t="shared" si="0"/>
        <v>20</v>
      </c>
      <c r="H55" s="3">
        <v>0.1</v>
      </c>
      <c r="I55" t="str">
        <f>_xll.qlSimpleQuote(,H55)</f>
        <v>0.1#0003</v>
      </c>
      <c r="J55" t="str">
        <f t="shared" si="1"/>
        <v>5Y</v>
      </c>
      <c r="K55" t="str">
        <f t="shared" si="2"/>
        <v>1Y</v>
      </c>
      <c r="L55" t="e">
        <f ca="1">_xll.qlRelinkableHandleQuote(,I55)</f>
        <v>#NAME?</v>
      </c>
    </row>
    <row r="56" spans="5:12" x14ac:dyDescent="0.25">
      <c r="E56">
        <v>4</v>
      </c>
      <c r="F56">
        <v>1</v>
      </c>
      <c r="G56">
        <f t="shared" si="0"/>
        <v>21</v>
      </c>
      <c r="H56" s="3">
        <v>9.5000000000000001E-2</v>
      </c>
      <c r="I56" t="str">
        <f>_xll.qlSimpleQuote(,H56)</f>
        <v>0.095#0003</v>
      </c>
      <c r="J56" t="str">
        <f t="shared" si="1"/>
        <v>5Y</v>
      </c>
      <c r="K56" t="str">
        <f t="shared" si="2"/>
        <v>2Y</v>
      </c>
      <c r="L56" t="e">
        <f ca="1">_xll.qlRelinkableHandleQuote(,I56)</f>
        <v>#NAME?</v>
      </c>
    </row>
    <row r="57" spans="5:12" x14ac:dyDescent="0.25">
      <c r="E57">
        <v>4</v>
      </c>
      <c r="F57">
        <v>2</v>
      </c>
      <c r="G57">
        <f t="shared" si="0"/>
        <v>22</v>
      </c>
      <c r="H57" s="3">
        <v>0.09</v>
      </c>
      <c r="I57" t="str">
        <f>_xll.qlSimpleQuote(,H57)</f>
        <v>0.09#0003</v>
      </c>
      <c r="J57" t="str">
        <f t="shared" si="1"/>
        <v>5Y</v>
      </c>
      <c r="K57" t="str">
        <f t="shared" si="2"/>
        <v>3Y</v>
      </c>
      <c r="L57" t="e">
        <f ca="1">_xll.qlRelinkableHandleQuote(,I57)</f>
        <v>#NAME?</v>
      </c>
    </row>
    <row r="58" spans="5:12" x14ac:dyDescent="0.25">
      <c r="E58">
        <v>4</v>
      </c>
      <c r="F58">
        <v>3</v>
      </c>
      <c r="G58">
        <f t="shared" si="0"/>
        <v>23</v>
      </c>
      <c r="H58" s="3">
        <v>0.123</v>
      </c>
      <c r="I58" t="str">
        <f>_xll.qlSimpleQuote(,H58)</f>
        <v>0.123#0003</v>
      </c>
      <c r="J58" t="str">
        <f t="shared" si="1"/>
        <v>5Y</v>
      </c>
      <c r="K58" t="str">
        <f t="shared" si="2"/>
        <v>4Y</v>
      </c>
      <c r="L58" t="e">
        <f ca="1">_xll.qlRelinkableHandleQuote(,I58)</f>
        <v>#NAME?</v>
      </c>
    </row>
    <row r="59" spans="5:12" x14ac:dyDescent="0.25">
      <c r="E59">
        <v>4</v>
      </c>
      <c r="F59">
        <v>4</v>
      </c>
      <c r="G59">
        <f t="shared" si="0"/>
        <v>24</v>
      </c>
      <c r="H59" s="3">
        <v>0.11600000000000001</v>
      </c>
      <c r="I59" t="str">
        <f>_xll.qlSimpleQuote(,H59)</f>
        <v>0.116#0003</v>
      </c>
      <c r="J59" t="str">
        <f t="shared" si="1"/>
        <v>5Y</v>
      </c>
      <c r="K59" t="str">
        <f t="shared" si="2"/>
        <v>5Y</v>
      </c>
      <c r="L59" t="e">
        <f ca="1">_xll.qlRelinkableHandleQuote(,I59)</f>
        <v>#NAME?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erik</cp:lastModifiedBy>
  <dcterms:created xsi:type="dcterms:W3CDTF">2015-09-08T15:46:20Z</dcterms:created>
  <dcterms:modified xsi:type="dcterms:W3CDTF">2015-09-15T21:46:27Z</dcterms:modified>
</cp:coreProperties>
</file>