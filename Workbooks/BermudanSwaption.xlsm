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22035" windowHeight="1207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C10" i="1" l="1"/>
  <c r="C7" i="1"/>
  <c r="C36" i="1"/>
  <c r="C35" i="1"/>
  <c r="E26" i="2"/>
  <c r="E3" i="2"/>
  <c r="E4" i="2"/>
  <c r="E12" i="2"/>
  <c r="E20" i="2"/>
  <c r="E5" i="2"/>
  <c r="E13" i="2"/>
  <c r="E21" i="2"/>
  <c r="E6" i="2"/>
  <c r="E14" i="2"/>
  <c r="E22" i="2"/>
  <c r="E7" i="2"/>
  <c r="E15" i="2"/>
  <c r="E23" i="2"/>
  <c r="E8" i="2"/>
  <c r="E16" i="2"/>
  <c r="E24" i="2"/>
  <c r="E9" i="2"/>
  <c r="E17" i="2"/>
  <c r="E25" i="2"/>
  <c r="E2" i="2"/>
  <c r="E10" i="2"/>
  <c r="E18" i="2"/>
  <c r="E11" i="2"/>
  <c r="E19" i="2"/>
  <c r="C11" i="1"/>
  <c r="C2" i="1"/>
  <c r="C19" i="1"/>
  <c r="C34" i="1"/>
  <c r="J2" i="2" s="1"/>
  <c r="C9" i="1"/>
  <c r="C21" i="1"/>
  <c r="C20" i="1"/>
  <c r="J26" i="2"/>
  <c r="J18" i="2"/>
  <c r="J10" i="2"/>
  <c r="J25" i="2"/>
  <c r="J17" i="2"/>
  <c r="J9" i="2"/>
  <c r="J24" i="2"/>
  <c r="J16" i="2"/>
  <c r="J8" i="2"/>
  <c r="J23" i="2"/>
  <c r="J15" i="2"/>
  <c r="J7" i="2"/>
  <c r="J22" i="2"/>
  <c r="J14" i="2"/>
  <c r="J6" i="2"/>
  <c r="J21" i="2"/>
  <c r="J13" i="2"/>
  <c r="J5" i="2"/>
  <c r="J20" i="2"/>
  <c r="J12" i="2"/>
  <c r="J4" i="2"/>
  <c r="J19" i="2"/>
  <c r="J11" i="2"/>
  <c r="J3" i="2"/>
  <c r="C22" i="1"/>
  <c r="C24" i="1"/>
  <c r="C23" i="1"/>
  <c r="C25" i="1"/>
  <c r="C26" i="1"/>
  <c r="C27" i="1" s="1"/>
  <c r="C28" i="1" s="1"/>
  <c r="C31" i="1" s="1"/>
  <c r="C29" i="1" l="1"/>
  <c r="G26" i="2"/>
  <c r="F26" i="2"/>
  <c r="C26" i="2"/>
  <c r="G25" i="2"/>
  <c r="F25" i="2"/>
  <c r="C25" i="2"/>
  <c r="G24" i="2"/>
  <c r="F24" i="2"/>
  <c r="C24" i="2"/>
  <c r="G23" i="2"/>
  <c r="F23" i="2"/>
  <c r="C23" i="2"/>
  <c r="G22" i="2"/>
  <c r="F22" i="2"/>
  <c r="C22" i="2"/>
  <c r="G21" i="2"/>
  <c r="F21" i="2"/>
  <c r="C21" i="2"/>
  <c r="G20" i="2"/>
  <c r="F20" i="2"/>
  <c r="C20" i="2"/>
  <c r="G19" i="2"/>
  <c r="F19" i="2"/>
  <c r="C19" i="2"/>
  <c r="G18" i="2"/>
  <c r="F18" i="2"/>
  <c r="C18" i="2"/>
  <c r="G17" i="2"/>
  <c r="F17" i="2"/>
  <c r="C17" i="2"/>
  <c r="G16" i="2"/>
  <c r="F16" i="2"/>
  <c r="C16" i="2"/>
  <c r="G15" i="2"/>
  <c r="F15" i="2"/>
  <c r="C15" i="2"/>
  <c r="G14" i="2"/>
  <c r="F14" i="2"/>
  <c r="C14" i="2"/>
  <c r="G13" i="2"/>
  <c r="F13" i="2"/>
  <c r="C13" i="2"/>
  <c r="G12" i="2"/>
  <c r="F12" i="2"/>
  <c r="C12" i="2"/>
  <c r="G11" i="2"/>
  <c r="F11" i="2"/>
  <c r="C11" i="2"/>
  <c r="G10" i="2"/>
  <c r="F10" i="2"/>
  <c r="C10" i="2"/>
  <c r="G9" i="2"/>
  <c r="F9" i="2"/>
  <c r="C9" i="2"/>
  <c r="G8" i="2"/>
  <c r="F8" i="2"/>
  <c r="C8" i="2"/>
  <c r="G7" i="2"/>
  <c r="F7" i="2"/>
  <c r="C7" i="2"/>
  <c r="G6" i="2"/>
  <c r="F6" i="2"/>
  <c r="C6" i="2"/>
  <c r="G5" i="2"/>
  <c r="F5" i="2"/>
  <c r="C5" i="2"/>
  <c r="G4" i="2"/>
  <c r="F4" i="2"/>
  <c r="C4" i="2"/>
  <c r="G3" i="2"/>
  <c r="F3" i="2"/>
  <c r="C3" i="2"/>
  <c r="G2" i="2"/>
  <c r="F2" i="2"/>
  <c r="C2" i="2"/>
  <c r="I8" i="2"/>
  <c r="K8" i="2" s="1"/>
  <c r="I26" i="2"/>
  <c r="K26" i="2" s="1"/>
  <c r="I18" i="2"/>
  <c r="K18" i="2" s="1"/>
  <c r="I10" i="2"/>
  <c r="K10" i="2" s="1"/>
  <c r="I2" i="2"/>
  <c r="K2" i="2" s="1"/>
  <c r="I20" i="2"/>
  <c r="K20" i="2" s="1"/>
  <c r="I12" i="2"/>
  <c r="K12" i="2" s="1"/>
  <c r="I4" i="2"/>
  <c r="K4" i="2" s="1"/>
  <c r="I22" i="2"/>
  <c r="K22" i="2" s="1"/>
  <c r="I14" i="2"/>
  <c r="K14" i="2" s="1"/>
  <c r="I6" i="2"/>
  <c r="K6" i="2" s="1"/>
  <c r="I11" i="2"/>
  <c r="K11" i="2" s="1"/>
  <c r="I3" i="2"/>
  <c r="K3" i="2" s="1"/>
  <c r="I13" i="2"/>
  <c r="K13" i="2" s="1"/>
  <c r="I5" i="2"/>
  <c r="K5" i="2" s="1"/>
  <c r="I23" i="2"/>
  <c r="K23" i="2" s="1"/>
  <c r="I15" i="2"/>
  <c r="K15" i="2" s="1"/>
  <c r="I7" i="2"/>
  <c r="K7" i="2" s="1"/>
  <c r="I25" i="2"/>
  <c r="K25" i="2" s="1"/>
  <c r="I17" i="2"/>
  <c r="K17" i="2" s="1"/>
  <c r="I9" i="2"/>
  <c r="K9" i="2" s="1"/>
  <c r="I19" i="2"/>
  <c r="K19" i="2" s="1"/>
  <c r="I24" i="2"/>
  <c r="K24" i="2" s="1"/>
  <c r="I16" i="2"/>
  <c r="K16" i="2" s="1"/>
  <c r="I21" i="2"/>
  <c r="K21" i="2" s="1"/>
  <c r="C32" i="1"/>
  <c r="H26" i="2"/>
  <c r="H5" i="2"/>
  <c r="H23" i="2"/>
  <c r="H15" i="2"/>
  <c r="H18" i="2"/>
  <c r="H16" i="2"/>
  <c r="H24" i="2"/>
  <c r="H19" i="2"/>
  <c r="H22" i="2"/>
  <c r="H25" i="2"/>
  <c r="H14" i="2"/>
  <c r="H10" i="2"/>
  <c r="H8" i="2"/>
  <c r="H7" i="2"/>
  <c r="H2" i="2"/>
  <c r="H11" i="2"/>
  <c r="H4" i="2"/>
  <c r="H3" i="2"/>
  <c r="H6" i="2"/>
  <c r="H21" i="2"/>
  <c r="H17" i="2"/>
  <c r="H9" i="2"/>
  <c r="H13" i="2"/>
  <c r="H12" i="2"/>
  <c r="H20" i="2"/>
  <c r="E34" i="1"/>
  <c r="C30" i="1" l="1"/>
  <c r="C33" i="1"/>
  <c r="C37" i="1"/>
  <c r="D37" i="1"/>
</calcChain>
</file>

<file path=xl/sharedStrings.xml><?xml version="1.0" encoding="utf-8"?>
<sst xmlns="http://schemas.openxmlformats.org/spreadsheetml/2006/main" count="51" uniqueCount="51">
  <si>
    <t>today's date</t>
  </si>
  <si>
    <t>calendar</t>
  </si>
  <si>
    <t>TARGET</t>
  </si>
  <si>
    <t>settlement date</t>
  </si>
  <si>
    <t>set evaluation date</t>
  </si>
  <si>
    <t>flatRate</t>
  </si>
  <si>
    <t>rhTermStructure</t>
  </si>
  <si>
    <t>fixedLegFrequency</t>
  </si>
  <si>
    <t>Annual</t>
  </si>
  <si>
    <t>fixedLegConvention</t>
  </si>
  <si>
    <t>Unadjusted</t>
  </si>
  <si>
    <t>floatingLegConvention</t>
  </si>
  <si>
    <t>fixedLegDayCounter</t>
  </si>
  <si>
    <t>floatingLegFrequency</t>
  </si>
  <si>
    <t>Semiannual</t>
  </si>
  <si>
    <t>type</t>
  </si>
  <si>
    <t>Payer</t>
  </si>
  <si>
    <t>dummyFixedRate</t>
  </si>
  <si>
    <t>indexSixMonths</t>
  </si>
  <si>
    <t>startDate</t>
  </si>
  <si>
    <t>Modified Following</t>
  </si>
  <si>
    <t>maturity</t>
  </si>
  <si>
    <t>fixedSchedule</t>
  </si>
  <si>
    <t>floatSchedule</t>
  </si>
  <si>
    <t>swap</t>
  </si>
  <si>
    <t>indexSixMonths-&gt;dayCounter()</t>
  </si>
  <si>
    <t>30/360 (Eurobond Basis)</t>
  </si>
  <si>
    <t>pricing engine</t>
  </si>
  <si>
    <t>setPricingEngine</t>
  </si>
  <si>
    <t>fixedATMRate</t>
  </si>
  <si>
    <t>fixedOTMRate</t>
  </si>
  <si>
    <t>fixedITMRate</t>
  </si>
  <si>
    <t>atmSwap</t>
  </si>
  <si>
    <t>otmSwap</t>
  </si>
  <si>
    <t>itmSwap</t>
  </si>
  <si>
    <t>swaptionMaturities</t>
  </si>
  <si>
    <t>i</t>
  </si>
  <si>
    <t>j</t>
  </si>
  <si>
    <t>k</t>
  </si>
  <si>
    <t>swaptionVols</t>
  </si>
  <si>
    <t>vol</t>
  </si>
  <si>
    <t>Period</t>
  </si>
  <si>
    <t>Handle&lt;Quote&gt;(vol)</t>
  </si>
  <si>
    <t>ql version</t>
  </si>
  <si>
    <t>swaptions</t>
  </si>
  <si>
    <t>modelHW</t>
  </si>
  <si>
    <t>engine</t>
  </si>
  <si>
    <t>set</t>
  </si>
  <si>
    <t>om</t>
  </si>
  <si>
    <t>EndCriteria</t>
  </si>
  <si>
    <t>calibrate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</si>
</sst>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dd\-mmm\-yyyy"/>
    <numFmt numFmtId="165" formatCode="_(* #,##0.0000_);_(* \(#,##0.00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164" fontId="0" fillId="0" borderId="0" xfId="0" applyNumberFormat="1"/>
    <xf numFmtId="43" fontId="0" fillId="0" borderId="0" xfId="1" applyFont="1"/>
    <xf numFmtId="165" fontId="0" fillId="0" borderId="0" xfId="1" applyNumberFormat="1" applyFont="1"/>
    <xf numFmtId="0" fontId="0" fillId="0" borderId="0" xfId="0" quotePrefix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37"/>
  <sheetViews>
    <sheetView tabSelected="1" workbookViewId="0"/>
  </sheetViews>
  <sheetFormatPr defaultRowHeight="15" x14ac:dyDescent="0.25"/>
  <cols>
    <col min="2" max="2" width="29.28515625" bestFit="1" customWidth="1"/>
    <col min="3" max="3" width="22.5703125" bestFit="1" customWidth="1"/>
  </cols>
  <sheetData>
    <row r="2" spans="2:3" x14ac:dyDescent="0.25">
      <c r="B2" t="s">
        <v>43</v>
      </c>
      <c r="C2" t="str">
        <f>_xll.qlVersion()</f>
        <v>1.7</v>
      </c>
    </row>
    <row r="4" spans="2:3" x14ac:dyDescent="0.25">
      <c r="B4" t="s">
        <v>0</v>
      </c>
      <c r="C4" s="1">
        <v>37302</v>
      </c>
    </row>
    <row r="5" spans="2:3" x14ac:dyDescent="0.25">
      <c r="B5" t="s">
        <v>1</v>
      </c>
      <c r="C5" t="s">
        <v>2</v>
      </c>
    </row>
    <row r="6" spans="2:3" x14ac:dyDescent="0.25">
      <c r="B6" t="s">
        <v>3</v>
      </c>
      <c r="C6" s="1">
        <v>37306</v>
      </c>
    </row>
    <row r="7" spans="2:3" x14ac:dyDescent="0.25">
      <c r="B7" t="s">
        <v>4</v>
      </c>
      <c r="C7" s="4" t="b">
        <f>_xll.qlSettingsSetEvaluationDate(,C4)</f>
        <v>1</v>
      </c>
    </row>
    <row r="8" spans="2:3" x14ac:dyDescent="0.25">
      <c r="C8" s="4">
        <v>4.8758250000000003E-2</v>
      </c>
    </row>
    <row r="9" spans="2:3" x14ac:dyDescent="0.25">
      <c r="B9" t="s">
        <v>5</v>
      </c>
      <c r="C9" t="str">
        <f>_xll.qlSimpleQuote(C7,B9,,,C8)</f>
        <v>flatRate#0011</v>
      </c>
    </row>
    <row r="10" spans="2:3" x14ac:dyDescent="0.25">
      <c r="C10" t="str">
        <f>_xll.qlFlatForward(,,,,C6,C8,"Actual/365 (Fixed)")</f>
        <v>obj_00004#0017</v>
      </c>
    </row>
    <row r="11" spans="2:3" x14ac:dyDescent="0.25">
      <c r="B11" t="s">
        <v>6</v>
      </c>
      <c r="C11" t="str">
        <f>_xll.qlRelinkableHandleYieldTermStructure(,B11,,,C10)</f>
        <v>rhTermStructure#0010</v>
      </c>
    </row>
    <row r="12" spans="2:3" x14ac:dyDescent="0.25">
      <c r="B12" t="s">
        <v>7</v>
      </c>
      <c r="C12" t="s">
        <v>8</v>
      </c>
    </row>
    <row r="13" spans="2:3" x14ac:dyDescent="0.25">
      <c r="B13" t="s">
        <v>9</v>
      </c>
      <c r="C13" t="s">
        <v>10</v>
      </c>
    </row>
    <row r="14" spans="2:3" x14ac:dyDescent="0.25">
      <c r="B14" t="s">
        <v>11</v>
      </c>
      <c r="C14" t="s">
        <v>20</v>
      </c>
    </row>
    <row r="15" spans="2:3" x14ac:dyDescent="0.25">
      <c r="B15" t="s">
        <v>12</v>
      </c>
      <c r="C15" t="s">
        <v>26</v>
      </c>
    </row>
    <row r="16" spans="2:3" x14ac:dyDescent="0.25">
      <c r="B16" t="s">
        <v>13</v>
      </c>
      <c r="C16" t="s">
        <v>14</v>
      </c>
    </row>
    <row r="17" spans="2:3" x14ac:dyDescent="0.25">
      <c r="B17" t="s">
        <v>15</v>
      </c>
      <c r="C17" t="s">
        <v>16</v>
      </c>
    </row>
    <row r="18" spans="2:3" x14ac:dyDescent="0.25">
      <c r="B18" t="s">
        <v>17</v>
      </c>
      <c r="C18" s="2">
        <v>0.03</v>
      </c>
    </row>
    <row r="19" spans="2:3" x14ac:dyDescent="0.25">
      <c r="B19" t="s">
        <v>18</v>
      </c>
      <c r="C19" t="str">
        <f>_xll.qlEuribor(,B19,,,"6M",C11)</f>
        <v>indexSixMonths#0011</v>
      </c>
    </row>
    <row r="20" spans="2:3" x14ac:dyDescent="0.25">
      <c r="B20" t="s">
        <v>25</v>
      </c>
      <c r="C20" t="str">
        <f>_xll.qlInterestRateIndexDayCounter(,C19)</f>
        <v>Actual/360</v>
      </c>
    </row>
    <row r="21" spans="2:3" x14ac:dyDescent="0.25">
      <c r="B21" t="s">
        <v>19</v>
      </c>
      <c r="C21" s="1">
        <f>_xll.qlCalendarAdvance(C7,C5,C6,"1Y",C14)</f>
        <v>37671</v>
      </c>
    </row>
    <row r="22" spans="2:3" x14ac:dyDescent="0.25">
      <c r="B22" t="s">
        <v>21</v>
      </c>
      <c r="C22" s="1">
        <f>_xll.qlCalendarAdvance(,C5,C21,"5Y",C14)</f>
        <v>39497</v>
      </c>
    </row>
    <row r="23" spans="2:3" x14ac:dyDescent="0.25">
      <c r="B23" t="s">
        <v>22</v>
      </c>
      <c r="C23" t="str">
        <f>_xll.qlSchedule(,B23,,,C21,C22,"1Y",C5,C13,C13,"Forward")</f>
        <v>fixedSchedule#0015</v>
      </c>
    </row>
    <row r="24" spans="2:3" x14ac:dyDescent="0.25">
      <c r="B24" t="s">
        <v>23</v>
      </c>
      <c r="C24" t="str">
        <f>_xll.qlSchedule(,B24,,,C21,C22,"6M",C5,C14,C14,"Forward")</f>
        <v>floatSchedule#0015</v>
      </c>
    </row>
    <row r="25" spans="2:3" x14ac:dyDescent="0.25">
      <c r="B25" t="s">
        <v>24</v>
      </c>
      <c r="C25" t="str">
        <f>_xll.qlVanillaSwap(,B25,,,C17,1000,C23,C18,C15,C24,C19,0,C20)</f>
        <v>swap#0022</v>
      </c>
    </row>
    <row r="26" spans="2:3" x14ac:dyDescent="0.25">
      <c r="B26" t="s">
        <v>27</v>
      </c>
      <c r="C26" t="str">
        <f>_xll.qlDiscountingSwapEngine(C25,,,,C11)</f>
        <v>obj_00053#0023</v>
      </c>
    </row>
    <row r="27" spans="2:3" x14ac:dyDescent="0.25">
      <c r="B27" t="s">
        <v>28</v>
      </c>
      <c r="C27" t="b">
        <f>_xll.qlInstrumentSetPricingEngine(,C25,C26)</f>
        <v>1</v>
      </c>
    </row>
    <row r="28" spans="2:3" x14ac:dyDescent="0.25">
      <c r="B28" t="s">
        <v>29</v>
      </c>
      <c r="C28">
        <f>_xll.qlVanillaSwapFairRate(C27,C25)</f>
        <v>5.0000005910246725E-2</v>
      </c>
    </row>
    <row r="29" spans="2:3" x14ac:dyDescent="0.25">
      <c r="B29" t="s">
        <v>30</v>
      </c>
      <c r="C29">
        <f>C28*1.2</f>
        <v>6.0000007092296068E-2</v>
      </c>
    </row>
    <row r="30" spans="2:3" x14ac:dyDescent="0.25">
      <c r="B30" t="s">
        <v>31</v>
      </c>
      <c r="C30">
        <f>C29*0.8</f>
        <v>4.800000567383686E-2</v>
      </c>
    </row>
    <row r="31" spans="2:3" x14ac:dyDescent="0.25">
      <c r="B31" t="s">
        <v>32</v>
      </c>
      <c r="C31" t="str">
        <f>_xll.qlVanillaSwap(,B31,,,C17,1000,C23,C28,C15,C24,C19,0,C20)</f>
        <v>atmSwap#0026</v>
      </c>
    </row>
    <row r="32" spans="2:3" x14ac:dyDescent="0.25">
      <c r="B32" t="s">
        <v>33</v>
      </c>
      <c r="C32" t="str">
        <f>_xll.qlVanillaSwap(,B32,,,C17,1000,C23,C29,C15,C24,C19,0,C20)</f>
        <v>otmSwap#0026</v>
      </c>
    </row>
    <row r="33" spans="2:5" x14ac:dyDescent="0.25">
      <c r="B33" t="s">
        <v>34</v>
      </c>
      <c r="C33" t="str">
        <f>_xll.qlVanillaSwap(,B33,,,C17,1000,C23,C30,C15,C24,C19,0,C20)</f>
        <v>itmSwap#0026</v>
      </c>
    </row>
    <row r="34" spans="2:5" x14ac:dyDescent="0.25">
      <c r="B34" t="s">
        <v>45</v>
      </c>
      <c r="C34" t="str">
        <f>_xll.qlHullWhite(,B34,,,C11)</f>
        <v>modelHW#0011</v>
      </c>
      <c r="E34" t="str">
        <f>_xll.ohRangeRetrieveError(Sheet2!K2)</f>
        <v/>
      </c>
    </row>
    <row r="35" spans="2:5" x14ac:dyDescent="0.25">
      <c r="B35" t="s">
        <v>48</v>
      </c>
      <c r="C35" t="str">
        <f>_xll.qlLevenbergMarquardt(,B35)</f>
        <v>om#0013</v>
      </c>
    </row>
    <row r="36" spans="2:5" x14ac:dyDescent="0.25">
      <c r="B36" t="s">
        <v>49</v>
      </c>
      <c r="C36" t="str">
        <f>_xll.qlEndCriteria(,,,,400,100,0.00000001,0.00000001,0.00000001)</f>
        <v>obj_0005a#0018</v>
      </c>
    </row>
    <row r="37" spans="2:5" x14ac:dyDescent="0.25">
      <c r="B37" t="s">
        <v>50</v>
      </c>
      <c r="C37" t="b">
        <f>_xll.qlCalibratedModelCalibrate(_xll.ohTrigger(Sheet2!K2:K26),C34,Sheet2!I2:I26,C35,C36)</f>
        <v>1</v>
      </c>
      <c r="D37" t="str">
        <f>_xll.ohRangeRetrieveError(C37)</f>
        <v/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6"/>
  <sheetViews>
    <sheetView workbookViewId="0">
      <selection activeCell="K2" sqref="K2"/>
    </sheetView>
  </sheetViews>
  <sheetFormatPr defaultRowHeight="15" x14ac:dyDescent="0.25"/>
  <cols>
    <col min="1" max="2" width="2" bestFit="1" customWidth="1"/>
    <col min="3" max="3" width="3" bestFit="1" customWidth="1"/>
    <col min="4" max="4" width="13.140625" bestFit="1" customWidth="1"/>
    <col min="5" max="5" width="15.140625" bestFit="1" customWidth="1"/>
    <col min="6" max="6" width="18.5703125" bestFit="1" customWidth="1"/>
    <col min="7" max="7" width="6.85546875" bestFit="1" customWidth="1"/>
    <col min="8" max="8" width="19.28515625" bestFit="1" customWidth="1"/>
    <col min="9" max="10" width="15.140625" bestFit="1" customWidth="1"/>
    <col min="11" max="11" width="5.42578125" bestFit="1" customWidth="1"/>
  </cols>
  <sheetData>
    <row r="1" spans="1:11" s="7" customFormat="1" x14ac:dyDescent="0.25">
      <c r="A1" s="5" t="s">
        <v>36</v>
      </c>
      <c r="B1" s="5" t="s">
        <v>37</v>
      </c>
      <c r="C1" s="5" t="s">
        <v>38</v>
      </c>
      <c r="D1" s="6" t="s">
        <v>39</v>
      </c>
      <c r="E1" s="5" t="s">
        <v>40</v>
      </c>
      <c r="F1" s="6" t="s">
        <v>35</v>
      </c>
      <c r="G1" s="5" t="s">
        <v>41</v>
      </c>
      <c r="H1" s="6" t="s">
        <v>42</v>
      </c>
      <c r="I1" s="5" t="s">
        <v>44</v>
      </c>
      <c r="J1" s="6" t="s">
        <v>46</v>
      </c>
      <c r="K1" s="7" t="s">
        <v>47</v>
      </c>
    </row>
    <row r="2" spans="1:11" x14ac:dyDescent="0.25">
      <c r="A2">
        <v>0</v>
      </c>
      <c r="B2">
        <v>0</v>
      </c>
      <c r="C2">
        <f t="shared" ref="C2:C26" si="0">A2*5+B2</f>
        <v>0</v>
      </c>
      <c r="D2" s="3">
        <v>0.14899999999999999</v>
      </c>
      <c r="E2" t="str">
        <f>_xll.qlSimpleQuote(,,,,D2)</f>
        <v>obj_0000b#0008</v>
      </c>
      <c r="F2" t="str">
        <f t="shared" ref="F2:F26" si="1">(A2+1)&amp;"Y"</f>
        <v>1Y</v>
      </c>
      <c r="G2" t="str">
        <f t="shared" ref="G2:G26" si="2">(B2+1)&amp;"Y"</f>
        <v>1Y</v>
      </c>
      <c r="H2" t="e">
        <f ca="1">_xll.qlRelinkableHandleQuote(,E2)</f>
        <v>#NAME?</v>
      </c>
      <c r="I2" t="str">
        <f>_xll.qlSwaptionHelper(,,,,F2,G2,E2,Sheet1!$C$19,"6M",Sheet1!$C$20,Sheet1!$C$20,Sheet1!$C$11)</f>
        <v>obj_00045#0038</v>
      </c>
      <c r="J2" t="str">
        <f>_xll.qlJamshidianSwaptionEngine(,,,,Sheet1!$C$34)</f>
        <v>obj_00021#0020</v>
      </c>
      <c r="K2" t="b">
        <f>_xll.qlCalibrationHelperSetPricingEngine(,I2,J2)</f>
        <v>1</v>
      </c>
    </row>
    <row r="3" spans="1:11" x14ac:dyDescent="0.25">
      <c r="A3">
        <v>0</v>
      </c>
      <c r="B3">
        <v>1</v>
      </c>
      <c r="C3">
        <f t="shared" si="0"/>
        <v>1</v>
      </c>
      <c r="D3" s="3">
        <v>0.13400000000000001</v>
      </c>
      <c r="E3" t="str">
        <f>_xll.qlSimpleQuote(,,,,D3)</f>
        <v>obj_00002#0008</v>
      </c>
      <c r="F3" t="str">
        <f t="shared" si="1"/>
        <v>1Y</v>
      </c>
      <c r="G3" t="str">
        <f t="shared" si="2"/>
        <v>2Y</v>
      </c>
      <c r="H3" t="e">
        <f ca="1">_xll.qlRelinkableHandleQuote(,E3)</f>
        <v>#NAME?</v>
      </c>
      <c r="I3" t="str">
        <f>_xll.qlSwaptionHelper(,,,,F3,G3,E3,Sheet1!$C$19,"6M",Sheet1!$C$20,Sheet1!$C$20,Sheet1!$C$11)</f>
        <v>obj_00048#0019</v>
      </c>
      <c r="J3" t="str">
        <f>_xll.qlJamshidianSwaptionEngine(,,,,Sheet1!$C$34)</f>
        <v>obj_0002e#0017</v>
      </c>
      <c r="K3" t="b">
        <f>_xll.qlCalibrationHelperSetPricingEngine(,I3,J3)</f>
        <v>1</v>
      </c>
    </row>
    <row r="4" spans="1:11" x14ac:dyDescent="0.25">
      <c r="A4">
        <v>0</v>
      </c>
      <c r="B4">
        <v>2</v>
      </c>
      <c r="C4">
        <f t="shared" si="0"/>
        <v>2</v>
      </c>
      <c r="D4" s="3">
        <v>0.12280000000000001</v>
      </c>
      <c r="E4" t="str">
        <f>_xll.qlSimpleQuote(,,,,D4)</f>
        <v>obj_0001a#0008</v>
      </c>
      <c r="F4" t="str">
        <f t="shared" si="1"/>
        <v>1Y</v>
      </c>
      <c r="G4" t="str">
        <f t="shared" si="2"/>
        <v>3Y</v>
      </c>
      <c r="H4" t="e">
        <f ca="1">_xll.qlRelinkableHandleQuote(,E4)</f>
        <v>#NAME?</v>
      </c>
      <c r="I4" t="str">
        <f>_xll.qlSwaptionHelper(,,,,F4,G4,E4,Sheet1!$C$19,"6M",Sheet1!$C$20,Sheet1!$C$20,Sheet1!$C$11)</f>
        <v>obj_00050#0019</v>
      </c>
      <c r="J4" t="str">
        <f>_xll.qlJamshidianSwaptionEngine(,,,,Sheet1!$C$34)</f>
        <v>obj_00033#0017</v>
      </c>
      <c r="K4" t="b">
        <f>_xll.qlCalibrationHelperSetPricingEngine(,I4,J4)</f>
        <v>1</v>
      </c>
    </row>
    <row r="5" spans="1:11" x14ac:dyDescent="0.25">
      <c r="A5">
        <v>0</v>
      </c>
      <c r="B5">
        <v>3</v>
      </c>
      <c r="C5">
        <f t="shared" si="0"/>
        <v>3</v>
      </c>
      <c r="D5" s="3">
        <v>0.11890000000000001</v>
      </c>
      <c r="E5" t="str">
        <f>_xll.qlSimpleQuote(,,,,D5)</f>
        <v>obj_00018#0008</v>
      </c>
      <c r="F5" t="str">
        <f t="shared" si="1"/>
        <v>1Y</v>
      </c>
      <c r="G5" t="str">
        <f t="shared" si="2"/>
        <v>4Y</v>
      </c>
      <c r="H5" t="e">
        <f ca="1">_xll.qlRelinkableHandleQuote(,E5)</f>
        <v>#NAME?</v>
      </c>
      <c r="I5" t="str">
        <f>_xll.qlSwaptionHelper(,,,,F5,G5,E5,Sheet1!$C$19,"6M",Sheet1!$C$20,Sheet1!$C$20,Sheet1!$C$11)</f>
        <v>obj_0004d#0019</v>
      </c>
      <c r="J5" t="str">
        <f>_xll.qlJamshidianSwaptionEngine(,,,,Sheet1!$C$34)</f>
        <v>obj_0002d#0017</v>
      </c>
      <c r="K5" t="b">
        <f>_xll.qlCalibrationHelperSetPricingEngine(,I5,J5)</f>
        <v>1</v>
      </c>
    </row>
    <row r="6" spans="1:11" x14ac:dyDescent="0.25">
      <c r="A6">
        <v>0</v>
      </c>
      <c r="B6">
        <v>4</v>
      </c>
      <c r="C6">
        <f t="shared" si="0"/>
        <v>4</v>
      </c>
      <c r="D6" s="3">
        <v>0.1148</v>
      </c>
      <c r="E6" t="str">
        <f>_xll.qlSimpleQuote(,,,,D6)</f>
        <v>obj_00005#0008</v>
      </c>
      <c r="F6" t="str">
        <f t="shared" si="1"/>
        <v>1Y</v>
      </c>
      <c r="G6" t="str">
        <f t="shared" si="2"/>
        <v>5Y</v>
      </c>
      <c r="H6" t="e">
        <f ca="1">_xll.qlRelinkableHandleQuote(,E6)</f>
        <v>#NAME?</v>
      </c>
      <c r="I6" t="str">
        <f>_xll.qlSwaptionHelper(,,,,F6,G6,E6,Sheet1!$C$19,"6M",Sheet1!$C$20,Sheet1!$C$20,Sheet1!$C$11)</f>
        <v>obj_00046#0019</v>
      </c>
      <c r="J6" t="str">
        <f>_xll.qlJamshidianSwaptionEngine(,,,,Sheet1!$C$34)</f>
        <v>obj_00032#0017</v>
      </c>
      <c r="K6" t="b">
        <f>_xll.qlCalibrationHelperSetPricingEngine(,I6,J6)</f>
        <v>1</v>
      </c>
    </row>
    <row r="7" spans="1:11" x14ac:dyDescent="0.25">
      <c r="A7">
        <v>1</v>
      </c>
      <c r="B7">
        <v>0</v>
      </c>
      <c r="C7">
        <f t="shared" si="0"/>
        <v>5</v>
      </c>
      <c r="D7" s="3">
        <v>0.129</v>
      </c>
      <c r="E7" t="str">
        <f>_xll.qlSimpleQuote(,,,,D7)</f>
        <v>obj_00009#0008</v>
      </c>
      <c r="F7" t="str">
        <f t="shared" si="1"/>
        <v>2Y</v>
      </c>
      <c r="G7" t="str">
        <f t="shared" si="2"/>
        <v>1Y</v>
      </c>
      <c r="H7" t="e">
        <f ca="1">_xll.qlRelinkableHandleQuote(,E7)</f>
        <v>#NAME?</v>
      </c>
      <c r="I7" t="str">
        <f>_xll.qlSwaptionHelper(,,,,F7,G7,E7,Sheet1!$C$19,"6M",Sheet1!$C$20,Sheet1!$C$20,Sheet1!$C$11)</f>
        <v>obj_00047#0019</v>
      </c>
      <c r="J7" t="str">
        <f>_xll.qlJamshidianSwaptionEngine(,,,,Sheet1!$C$34)</f>
        <v>obj_00022#0017</v>
      </c>
      <c r="K7" t="b">
        <f>_xll.qlCalibrationHelperSetPricingEngine(,I7,J7)</f>
        <v>1</v>
      </c>
    </row>
    <row r="8" spans="1:11" x14ac:dyDescent="0.25">
      <c r="A8">
        <v>1</v>
      </c>
      <c r="B8">
        <v>1</v>
      </c>
      <c r="C8">
        <f t="shared" si="0"/>
        <v>6</v>
      </c>
      <c r="D8" s="3">
        <v>0.1201</v>
      </c>
      <c r="E8" t="str">
        <f>_xll.qlSimpleQuote(,,,,D8)</f>
        <v>obj_00007#0008</v>
      </c>
      <c r="F8" t="str">
        <f t="shared" si="1"/>
        <v>2Y</v>
      </c>
      <c r="G8" t="str">
        <f t="shared" si="2"/>
        <v>2Y</v>
      </c>
      <c r="H8" t="e">
        <f ca="1">_xll.qlRelinkableHandleQuote(,E8)</f>
        <v>#NAME?</v>
      </c>
      <c r="I8" t="str">
        <f>_xll.qlSwaptionHelper(,,,,F8,G8,E8,Sheet1!$C$19,"6M",Sheet1!$C$20,Sheet1!$C$20,Sheet1!$C$11)</f>
        <v>obj_00040#0019</v>
      </c>
      <c r="J8" t="str">
        <f>_xll.qlJamshidianSwaptionEngine(,,,,Sheet1!$C$34)</f>
        <v>obj_0002a#0017</v>
      </c>
      <c r="K8" t="b">
        <f>_xll.qlCalibrationHelperSetPricingEngine(,I8,J8)</f>
        <v>1</v>
      </c>
    </row>
    <row r="9" spans="1:11" x14ac:dyDescent="0.25">
      <c r="A9">
        <v>1</v>
      </c>
      <c r="B9">
        <v>2</v>
      </c>
      <c r="C9">
        <f t="shared" si="0"/>
        <v>7</v>
      </c>
      <c r="D9" s="3">
        <v>0.11459999999999999</v>
      </c>
      <c r="E9" t="str">
        <f>_xll.qlSimpleQuote(,,,,D9)</f>
        <v>obj_00015#0008</v>
      </c>
      <c r="F9" t="str">
        <f t="shared" si="1"/>
        <v>2Y</v>
      </c>
      <c r="G9" t="str">
        <f t="shared" si="2"/>
        <v>3Y</v>
      </c>
      <c r="H9" t="e">
        <f ca="1">_xll.qlRelinkableHandleQuote(,E9)</f>
        <v>#NAME?</v>
      </c>
      <c r="I9" t="str">
        <f>_xll.qlSwaptionHelper(,,,,F9,G9,E9,Sheet1!$C$19,"6M",Sheet1!$C$20,Sheet1!$C$20,Sheet1!$C$11)</f>
        <v>obj_0003b#0019</v>
      </c>
      <c r="J9" t="str">
        <f>_xll.qlJamshidianSwaptionEngine(,,,,Sheet1!$C$34)</f>
        <v>obj_00036#0017</v>
      </c>
      <c r="K9" t="b">
        <f>_xll.qlCalibrationHelperSetPricingEngine(,I9,J9)</f>
        <v>1</v>
      </c>
    </row>
    <row r="10" spans="1:11" x14ac:dyDescent="0.25">
      <c r="A10">
        <v>1</v>
      </c>
      <c r="B10">
        <v>3</v>
      </c>
      <c r="C10">
        <f t="shared" si="0"/>
        <v>8</v>
      </c>
      <c r="D10" s="3">
        <v>0.1108</v>
      </c>
      <c r="E10" t="str">
        <f>_xll.qlSimpleQuote(,,,,D10)</f>
        <v>obj_00003#0008</v>
      </c>
      <c r="F10" t="str">
        <f t="shared" si="1"/>
        <v>2Y</v>
      </c>
      <c r="G10" t="str">
        <f t="shared" si="2"/>
        <v>4Y</v>
      </c>
      <c r="H10" t="e">
        <f ca="1">_xll.qlRelinkableHandleQuote(,E10)</f>
        <v>#NAME?</v>
      </c>
      <c r="I10" t="str">
        <f>_xll.qlSwaptionHelper(,,,,F10,G10,E10,Sheet1!$C$19,"6M",Sheet1!$C$20,Sheet1!$C$20,Sheet1!$C$11)</f>
        <v>obj_0004a#0019</v>
      </c>
      <c r="J10" t="str">
        <f>_xll.qlJamshidianSwaptionEngine(,,,,Sheet1!$C$34)</f>
        <v>obj_00034#0017</v>
      </c>
      <c r="K10" t="b">
        <f>_xll.qlCalibrationHelperSetPricingEngine(,I10,J10)</f>
        <v>1</v>
      </c>
    </row>
    <row r="11" spans="1:11" x14ac:dyDescent="0.25">
      <c r="A11">
        <v>1</v>
      </c>
      <c r="B11">
        <v>4</v>
      </c>
      <c r="C11">
        <f t="shared" si="0"/>
        <v>9</v>
      </c>
      <c r="D11" s="3">
        <v>0.104</v>
      </c>
      <c r="E11" t="str">
        <f>_xll.qlSimpleQuote(,,,,D11)</f>
        <v>obj_00008#0008</v>
      </c>
      <c r="F11" t="str">
        <f t="shared" si="1"/>
        <v>2Y</v>
      </c>
      <c r="G11" t="str">
        <f t="shared" si="2"/>
        <v>5Y</v>
      </c>
      <c r="H11" t="e">
        <f ca="1">_xll.qlRelinkableHandleQuote(,E11)</f>
        <v>#NAME?</v>
      </c>
      <c r="I11" t="str">
        <f>_xll.qlSwaptionHelper(,,,,F11,G11,E11,Sheet1!$C$19,"6M",Sheet1!$C$20,Sheet1!$C$20,Sheet1!$C$11)</f>
        <v>obj_00044#0019</v>
      </c>
      <c r="J11" t="str">
        <f>_xll.qlJamshidianSwaptionEngine(,,,,Sheet1!$C$34)</f>
        <v>obj_00035#0017</v>
      </c>
      <c r="K11" t="b">
        <f>_xll.qlCalibrationHelperSetPricingEngine(,I11,J11)</f>
        <v>1</v>
      </c>
    </row>
    <row r="12" spans="1:11" x14ac:dyDescent="0.25">
      <c r="A12">
        <v>2</v>
      </c>
      <c r="B12">
        <v>0</v>
      </c>
      <c r="C12">
        <f t="shared" si="0"/>
        <v>10</v>
      </c>
      <c r="D12" s="3">
        <v>0.1149</v>
      </c>
      <c r="E12" t="str">
        <f>_xll.qlSimpleQuote(,,,,D12)</f>
        <v>obj_00000#0008</v>
      </c>
      <c r="F12" t="str">
        <f t="shared" si="1"/>
        <v>3Y</v>
      </c>
      <c r="G12" t="str">
        <f t="shared" si="2"/>
        <v>1Y</v>
      </c>
      <c r="H12" t="e">
        <f ca="1">_xll.qlRelinkableHandleQuote(,E12)</f>
        <v>#NAME?</v>
      </c>
      <c r="I12" t="str">
        <f>_xll.qlSwaptionHelper(,,,,F12,G12,E12,Sheet1!$C$19,"6M",Sheet1!$C$20,Sheet1!$C$20,Sheet1!$C$11)</f>
        <v>obj_0003d#0019</v>
      </c>
      <c r="J12" t="str">
        <f>_xll.qlJamshidianSwaptionEngine(,,,,Sheet1!$C$34)</f>
        <v>obj_00026#0017</v>
      </c>
      <c r="K12" t="b">
        <f>_xll.qlCalibrationHelperSetPricingEngine(,I12,J12)</f>
        <v>1</v>
      </c>
    </row>
    <row r="13" spans="1:11" x14ac:dyDescent="0.25">
      <c r="A13">
        <v>2</v>
      </c>
      <c r="B13">
        <v>1</v>
      </c>
      <c r="C13">
        <f t="shared" si="0"/>
        <v>11</v>
      </c>
      <c r="D13" s="3">
        <v>0.11119999999999999</v>
      </c>
      <c r="E13" t="str">
        <f>_xll.qlSimpleQuote(,,,,D13)</f>
        <v>obj_00016#0008</v>
      </c>
      <c r="F13" t="str">
        <f t="shared" si="1"/>
        <v>3Y</v>
      </c>
      <c r="G13" t="str">
        <f t="shared" si="2"/>
        <v>2Y</v>
      </c>
      <c r="H13" t="e">
        <f ca="1">_xll.qlRelinkableHandleQuote(,E13)</f>
        <v>#NAME?</v>
      </c>
      <c r="I13" t="str">
        <f>_xll.qlSwaptionHelper(,,,,F13,G13,E13,Sheet1!$C$19,"6M",Sheet1!$C$20,Sheet1!$C$20,Sheet1!$C$11)</f>
        <v>obj_0003a#0019</v>
      </c>
      <c r="J13" t="str">
        <f>_xll.qlJamshidianSwaptionEngine(,,,,Sheet1!$C$34)</f>
        <v>obj_0002f#0017</v>
      </c>
      <c r="K13" t="b">
        <f>_xll.qlCalibrationHelperSetPricingEngine(,I13,J13)</f>
        <v>1</v>
      </c>
    </row>
    <row r="14" spans="1:11" x14ac:dyDescent="0.25">
      <c r="A14">
        <v>2</v>
      </c>
      <c r="B14">
        <v>2</v>
      </c>
      <c r="C14">
        <f t="shared" si="0"/>
        <v>12</v>
      </c>
      <c r="D14" s="3">
        <v>0.107</v>
      </c>
      <c r="E14" t="str">
        <f>_xll.qlSimpleQuote(,,,,D14)</f>
        <v>obj_00019#0008</v>
      </c>
      <c r="F14" t="str">
        <f t="shared" si="1"/>
        <v>3Y</v>
      </c>
      <c r="G14" t="str">
        <f t="shared" si="2"/>
        <v>3Y</v>
      </c>
      <c r="H14" t="e">
        <f ca="1">_xll.qlRelinkableHandleQuote(,E14)</f>
        <v>#NAME?</v>
      </c>
      <c r="I14" t="str">
        <f>_xll.qlSwaptionHelper(,,,,F14,G14,E14,Sheet1!$C$19,"6M",Sheet1!$C$20,Sheet1!$C$20,Sheet1!$C$11)</f>
        <v>obj_0004f#0019</v>
      </c>
      <c r="J14" t="str">
        <f>_xll.qlJamshidianSwaptionEngine(,,,,Sheet1!$C$34)</f>
        <v>obj_0002c#0017</v>
      </c>
      <c r="K14" t="b">
        <f>_xll.qlCalibrationHelperSetPricingEngine(,I14,J14)</f>
        <v>1</v>
      </c>
    </row>
    <row r="15" spans="1:11" x14ac:dyDescent="0.25">
      <c r="A15">
        <v>2</v>
      </c>
      <c r="B15">
        <v>3</v>
      </c>
      <c r="C15">
        <f t="shared" si="0"/>
        <v>13</v>
      </c>
      <c r="D15" s="3">
        <v>0.10100000000000001</v>
      </c>
      <c r="E15" t="str">
        <f>_xll.qlSimpleQuote(,,,,D15)</f>
        <v>obj_00011#0008</v>
      </c>
      <c r="F15" t="str">
        <f t="shared" si="1"/>
        <v>3Y</v>
      </c>
      <c r="G15" t="str">
        <f t="shared" si="2"/>
        <v>4Y</v>
      </c>
      <c r="H15" t="e">
        <f ca="1">_xll.qlRelinkableHandleQuote(,E15)</f>
        <v>#NAME?</v>
      </c>
      <c r="I15" t="str">
        <f>_xll.qlSwaptionHelper(,,,,F15,G15,E15,Sheet1!$C$19,"6M",Sheet1!$C$20,Sheet1!$C$20,Sheet1!$C$11)</f>
        <v>obj_00051#0019</v>
      </c>
      <c r="J15" t="str">
        <f>_xll.qlJamshidianSwaptionEngine(,,,,Sheet1!$C$34)</f>
        <v>obj_00020#0017</v>
      </c>
      <c r="K15" t="b">
        <f>_xll.qlCalibrationHelperSetPricingEngine(,I15,J15)</f>
        <v>1</v>
      </c>
    </row>
    <row r="16" spans="1:11" x14ac:dyDescent="0.25">
      <c r="A16">
        <v>2</v>
      </c>
      <c r="B16">
        <v>4</v>
      </c>
      <c r="C16">
        <f t="shared" si="0"/>
        <v>14</v>
      </c>
      <c r="D16" s="3">
        <v>9.5699999999999993E-2</v>
      </c>
      <c r="E16" t="str">
        <f>_xll.qlSimpleQuote(,,,,D16)</f>
        <v>obj_00017#0008</v>
      </c>
      <c r="F16" t="str">
        <f t="shared" si="1"/>
        <v>3Y</v>
      </c>
      <c r="G16" t="str">
        <f t="shared" si="2"/>
        <v>5Y</v>
      </c>
      <c r="H16" t="e">
        <f ca="1">_xll.qlRelinkableHandleQuote(,E16)</f>
        <v>#NAME?</v>
      </c>
      <c r="I16" t="str">
        <f>_xll.qlSwaptionHelper(,,,,F16,G16,E16,Sheet1!$C$19,"6M",Sheet1!$C$20,Sheet1!$C$20,Sheet1!$C$11)</f>
        <v>obj_00039#0019</v>
      </c>
      <c r="J16" t="str">
        <f>_xll.qlJamshidianSwaptionEngine(,,,,Sheet1!$C$34)</f>
        <v>obj_00025#0017</v>
      </c>
      <c r="K16" t="b">
        <f>_xll.qlCalibrationHelperSetPricingEngine(,I16,J16)</f>
        <v>1</v>
      </c>
    </row>
    <row r="17" spans="1:11" x14ac:dyDescent="0.25">
      <c r="A17">
        <v>3</v>
      </c>
      <c r="B17">
        <v>0</v>
      </c>
      <c r="C17">
        <f t="shared" si="0"/>
        <v>15</v>
      </c>
      <c r="D17" s="3">
        <v>0.1047</v>
      </c>
      <c r="E17" t="str">
        <f>_xll.qlSimpleQuote(,,,,D17)</f>
        <v>obj_00012#0008</v>
      </c>
      <c r="F17" t="str">
        <f t="shared" si="1"/>
        <v>4Y</v>
      </c>
      <c r="G17" t="str">
        <f t="shared" si="2"/>
        <v>1Y</v>
      </c>
      <c r="H17" t="e">
        <f ca="1">_xll.qlRelinkableHandleQuote(,E17)</f>
        <v>#NAME?</v>
      </c>
      <c r="I17" t="str">
        <f>_xll.qlSwaptionHelper(,,,,F17,G17,E17,Sheet1!$C$19,"6M",Sheet1!$C$20,Sheet1!$C$20,Sheet1!$C$11)</f>
        <v>obj_0004e#0019</v>
      </c>
      <c r="J17" t="str">
        <f>_xll.qlJamshidianSwaptionEngine(,,,,Sheet1!$C$34)</f>
        <v>obj_0002b#0017</v>
      </c>
      <c r="K17" t="b">
        <f>_xll.qlCalibrationHelperSetPricingEngine(,I17,J17)</f>
        <v>1</v>
      </c>
    </row>
    <row r="18" spans="1:11" x14ac:dyDescent="0.25">
      <c r="A18">
        <v>3</v>
      </c>
      <c r="B18">
        <v>1</v>
      </c>
      <c r="C18">
        <f t="shared" si="0"/>
        <v>16</v>
      </c>
      <c r="D18" s="3">
        <v>0.1021</v>
      </c>
      <c r="E18" t="str">
        <f>_xll.qlSimpleQuote(,,,,D18)</f>
        <v>obj_0000f#0008</v>
      </c>
      <c r="F18" t="str">
        <f t="shared" si="1"/>
        <v>4Y</v>
      </c>
      <c r="G18" t="str">
        <f t="shared" si="2"/>
        <v>2Y</v>
      </c>
      <c r="H18" t="e">
        <f ca="1">_xll.qlRelinkableHandleQuote(,E18)</f>
        <v>#NAME?</v>
      </c>
      <c r="I18" t="str">
        <f>_xll.qlSwaptionHelper(,,,,F18,G18,E18,Sheet1!$C$19,"6M",Sheet1!$C$20,Sheet1!$C$20,Sheet1!$C$11)</f>
        <v>obj_00041#0019</v>
      </c>
      <c r="J18" t="str">
        <f>_xll.qlJamshidianSwaptionEngine(,,,,Sheet1!$C$34)</f>
        <v>obj_00029#0017</v>
      </c>
      <c r="K18" t="b">
        <f>_xll.qlCalibrationHelperSetPricingEngine(,I18,J18)</f>
        <v>1</v>
      </c>
    </row>
    <row r="19" spans="1:11" x14ac:dyDescent="0.25">
      <c r="A19">
        <v>3</v>
      </c>
      <c r="B19">
        <v>2</v>
      </c>
      <c r="C19">
        <f t="shared" si="0"/>
        <v>17</v>
      </c>
      <c r="D19" s="3">
        <v>9.8000000000000004E-2</v>
      </c>
      <c r="E19" t="str">
        <f>_xll.qlSimpleQuote(,,,,D19)</f>
        <v>obj_0000e#0008</v>
      </c>
      <c r="F19" t="str">
        <f t="shared" si="1"/>
        <v>4Y</v>
      </c>
      <c r="G19" t="str">
        <f t="shared" si="2"/>
        <v>3Y</v>
      </c>
      <c r="H19" t="e">
        <f ca="1">_xll.qlRelinkableHandleQuote(,E19)</f>
        <v>#NAME?</v>
      </c>
      <c r="I19" t="str">
        <f>_xll.qlSwaptionHelper(,,,,F19,G19,E19,Sheet1!$C$19,"6M",Sheet1!$C$20,Sheet1!$C$20,Sheet1!$C$11)</f>
        <v>obj_00042#0019</v>
      </c>
      <c r="J19" t="str">
        <f>_xll.qlJamshidianSwaptionEngine(,,,,Sheet1!$C$34)</f>
        <v>obj_0001e#0017</v>
      </c>
      <c r="K19" t="b">
        <f>_xll.qlCalibrationHelperSetPricingEngine(,I19,J19)</f>
        <v>1</v>
      </c>
    </row>
    <row r="20" spans="1:11" x14ac:dyDescent="0.25">
      <c r="A20">
        <v>3</v>
      </c>
      <c r="B20">
        <v>3</v>
      </c>
      <c r="C20">
        <f t="shared" si="0"/>
        <v>18</v>
      </c>
      <c r="D20" s="3">
        <v>9.5100000000000004E-2</v>
      </c>
      <c r="E20" t="str">
        <f>_xll.qlSimpleQuote(,,,,D20)</f>
        <v>obj_00014#0008</v>
      </c>
      <c r="F20" t="str">
        <f t="shared" si="1"/>
        <v>4Y</v>
      </c>
      <c r="G20" t="str">
        <f t="shared" si="2"/>
        <v>4Y</v>
      </c>
      <c r="H20" t="e">
        <f ca="1">_xll.qlRelinkableHandleQuote(,E20)</f>
        <v>#NAME?</v>
      </c>
      <c r="I20" t="str">
        <f>_xll.qlSwaptionHelper(,,,,F20,G20,E20,Sheet1!$C$19,"6M",Sheet1!$C$20,Sheet1!$C$20,Sheet1!$C$11)</f>
        <v>obj_00037#0019</v>
      </c>
      <c r="J20" t="str">
        <f>_xll.qlJamshidianSwaptionEngine(,,,,Sheet1!$C$34)</f>
        <v>obj_0001f#0017</v>
      </c>
      <c r="K20" t="b">
        <f>_xll.qlCalibrationHelperSetPricingEngine(,I20,J20)</f>
        <v>1</v>
      </c>
    </row>
    <row r="21" spans="1:11" x14ac:dyDescent="0.25">
      <c r="A21">
        <v>3</v>
      </c>
      <c r="B21">
        <v>4</v>
      </c>
      <c r="C21">
        <f t="shared" si="0"/>
        <v>19</v>
      </c>
      <c r="D21" s="3">
        <v>0.127</v>
      </c>
      <c r="E21" t="str">
        <f>_xll.qlSimpleQuote(,,,,D21)</f>
        <v>obj_0000a#0008</v>
      </c>
      <c r="F21" t="str">
        <f t="shared" si="1"/>
        <v>4Y</v>
      </c>
      <c r="G21" t="str">
        <f t="shared" si="2"/>
        <v>5Y</v>
      </c>
      <c r="H21" t="e">
        <f ca="1">_xll.qlRelinkableHandleQuote(,E21)</f>
        <v>#NAME?</v>
      </c>
      <c r="I21" t="str">
        <f>_xll.qlSwaptionHelper(,,,,F21,G21,E21,Sheet1!$C$19,"6M",Sheet1!$C$20,Sheet1!$C$20,Sheet1!$C$11)</f>
        <v>obj_0003c#0019</v>
      </c>
      <c r="J21" t="str">
        <f>_xll.qlJamshidianSwaptionEngine(,,,,Sheet1!$C$34)</f>
        <v>obj_00023#0017</v>
      </c>
      <c r="K21" t="b">
        <f>_xll.qlCalibrationHelperSetPricingEngine(,I21,J21)</f>
        <v>1</v>
      </c>
    </row>
    <row r="22" spans="1:11" x14ac:dyDescent="0.25">
      <c r="A22">
        <v>4</v>
      </c>
      <c r="B22">
        <v>0</v>
      </c>
      <c r="C22">
        <f t="shared" si="0"/>
        <v>20</v>
      </c>
      <c r="D22" s="3">
        <v>0.1</v>
      </c>
      <c r="E22" t="str">
        <f>_xll.qlSimpleQuote(,,,,D22)</f>
        <v>obj_00013#0008</v>
      </c>
      <c r="F22" t="str">
        <f t="shared" si="1"/>
        <v>5Y</v>
      </c>
      <c r="G22" t="str">
        <f t="shared" si="2"/>
        <v>1Y</v>
      </c>
      <c r="H22" t="e">
        <f ca="1">_xll.qlRelinkableHandleQuote(,E22)</f>
        <v>#NAME?</v>
      </c>
      <c r="I22" t="str">
        <f>_xll.qlSwaptionHelper(,,,,F22,G22,E22,Sheet1!$C$19,"6M",Sheet1!$C$20,Sheet1!$C$20,Sheet1!$C$11)</f>
        <v>obj_0003e#0019</v>
      </c>
      <c r="J22" t="str">
        <f>_xll.qlJamshidianSwaptionEngine(,,,,Sheet1!$C$34)</f>
        <v>obj_00028#0017</v>
      </c>
      <c r="K22" t="b">
        <f>_xll.qlCalibrationHelperSetPricingEngine(,I22,J22)</f>
        <v>1</v>
      </c>
    </row>
    <row r="23" spans="1:11" x14ac:dyDescent="0.25">
      <c r="A23">
        <v>4</v>
      </c>
      <c r="B23">
        <v>1</v>
      </c>
      <c r="C23">
        <f t="shared" si="0"/>
        <v>21</v>
      </c>
      <c r="D23" s="3">
        <v>9.5000000000000001E-2</v>
      </c>
      <c r="E23" t="str">
        <f>_xll.qlSimpleQuote(,,,,D23)</f>
        <v>obj_00006#0008</v>
      </c>
      <c r="F23" t="str">
        <f t="shared" si="1"/>
        <v>5Y</v>
      </c>
      <c r="G23" t="str">
        <f t="shared" si="2"/>
        <v>2Y</v>
      </c>
      <c r="H23" t="e">
        <f ca="1">_xll.qlRelinkableHandleQuote(,E23)</f>
        <v>#NAME?</v>
      </c>
      <c r="I23" t="str">
        <f>_xll.qlSwaptionHelper(,,,,F23,G23,E23,Sheet1!$C$19,"6M",Sheet1!$C$20,Sheet1!$C$20,Sheet1!$C$11)</f>
        <v>obj_00049#0019</v>
      </c>
      <c r="J23" t="str">
        <f>_xll.qlJamshidianSwaptionEngine(,,,,Sheet1!$C$34)</f>
        <v>obj_00027#0017</v>
      </c>
      <c r="K23" t="b">
        <f>_xll.qlCalibrationHelperSetPricingEngine(,I23,J23)</f>
        <v>1</v>
      </c>
    </row>
    <row r="24" spans="1:11" x14ac:dyDescent="0.25">
      <c r="A24">
        <v>4</v>
      </c>
      <c r="B24">
        <v>2</v>
      </c>
      <c r="C24">
        <f t="shared" si="0"/>
        <v>22</v>
      </c>
      <c r="D24" s="3">
        <v>0.09</v>
      </c>
      <c r="E24" t="str">
        <f>_xll.qlSimpleQuote(,,,,D24)</f>
        <v>obj_00010#0008</v>
      </c>
      <c r="F24" t="str">
        <f t="shared" si="1"/>
        <v>5Y</v>
      </c>
      <c r="G24" t="str">
        <f t="shared" si="2"/>
        <v>3Y</v>
      </c>
      <c r="H24" t="e">
        <f ca="1">_xll.qlRelinkableHandleQuote(,E24)</f>
        <v>#NAME?</v>
      </c>
      <c r="I24" t="str">
        <f>_xll.qlSwaptionHelper(,,,,F24,G24,E24,Sheet1!$C$19,"6M",Sheet1!$C$20,Sheet1!$C$20,Sheet1!$C$11)</f>
        <v>obj_00038#0019</v>
      </c>
      <c r="J24" t="str">
        <f>_xll.qlJamshidianSwaptionEngine(,,,,Sheet1!$C$34)</f>
        <v>obj_00031#0017</v>
      </c>
      <c r="K24" t="b">
        <f>_xll.qlCalibrationHelperSetPricingEngine(,I24,J24)</f>
        <v>1</v>
      </c>
    </row>
    <row r="25" spans="1:11" x14ac:dyDescent="0.25">
      <c r="A25">
        <v>4</v>
      </c>
      <c r="B25">
        <v>3</v>
      </c>
      <c r="C25">
        <f t="shared" si="0"/>
        <v>23</v>
      </c>
      <c r="D25" s="3">
        <v>0.123</v>
      </c>
      <c r="E25" t="str">
        <f>_xll.qlSimpleQuote(,,,,D25)</f>
        <v>obj_00001#0008</v>
      </c>
      <c r="F25" t="str">
        <f t="shared" si="1"/>
        <v>5Y</v>
      </c>
      <c r="G25" t="str">
        <f t="shared" si="2"/>
        <v>4Y</v>
      </c>
      <c r="H25" t="e">
        <f ca="1">_xll.qlRelinkableHandleQuote(,E25)</f>
        <v>#NAME?</v>
      </c>
      <c r="I25" t="str">
        <f>_xll.qlSwaptionHelper(,,,,F25,G25,E25,Sheet1!$C$19,"6M",Sheet1!$C$20,Sheet1!$C$20,Sheet1!$C$11)</f>
        <v>obj_0003f#0019</v>
      </c>
      <c r="J25" t="str">
        <f>_xll.qlJamshidianSwaptionEngine(,,,,Sheet1!$C$34)</f>
        <v>obj_00024#0017</v>
      </c>
      <c r="K25" t="b">
        <f>_xll.qlCalibrationHelperSetPricingEngine(,I25,J25)</f>
        <v>1</v>
      </c>
    </row>
    <row r="26" spans="1:11" x14ac:dyDescent="0.25">
      <c r="A26">
        <v>4</v>
      </c>
      <c r="B26">
        <v>4</v>
      </c>
      <c r="C26">
        <f t="shared" si="0"/>
        <v>24</v>
      </c>
      <c r="D26" s="3">
        <v>0.11600000000000001</v>
      </c>
      <c r="E26" t="str">
        <f>_xll.qlSimpleQuote(,,,,D26)</f>
        <v>obj_0000d#0008</v>
      </c>
      <c r="F26" t="str">
        <f t="shared" si="1"/>
        <v>5Y</v>
      </c>
      <c r="G26" t="str">
        <f t="shared" si="2"/>
        <v>5Y</v>
      </c>
      <c r="H26" t="e">
        <f ca="1">_xll.qlRelinkableHandleQuote(,E26)</f>
        <v>#NAME?</v>
      </c>
      <c r="I26" t="str">
        <f>_xll.qlSwaptionHelper(,,,,F26,G26,E26,Sheet1!$C$19,"6M",Sheet1!$C$20,Sheet1!$C$20,Sheet1!$C$11)</f>
        <v>obj_00043#0019</v>
      </c>
      <c r="J26" t="str">
        <f>_xll.qlJamshidianSwaptionEngine(,,,,Sheet1!$C$34)</f>
        <v>obj_00030#0017</v>
      </c>
      <c r="K26" t="b">
        <f>_xll.qlCalibrationHelperSetPricingEngine(,I26,J26)</f>
        <v>1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2015-09-08T15:46:20Z</dcterms:created>
  <dcterms:modified xsi:type="dcterms:W3CDTF">2015-09-16T00:43:52Z</dcterms:modified>
</cp:coreProperties>
</file>