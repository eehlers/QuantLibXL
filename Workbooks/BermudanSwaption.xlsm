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C34" i="1"/>
  <c r="B3" i="2"/>
  <c r="B2" i="2"/>
  <c r="K6" i="2"/>
  <c r="K7" i="2"/>
  <c r="I3" i="2" l="1"/>
  <c r="J3" i="2" s="1"/>
  <c r="I4" i="2"/>
  <c r="J4" i="2" s="1"/>
  <c r="M6" i="2"/>
  <c r="M7" i="2"/>
  <c r="I5" i="2"/>
  <c r="J5" i="2" s="1"/>
  <c r="C7" i="1"/>
  <c r="C21" i="1"/>
  <c r="C9" i="1"/>
  <c r="K3" i="2"/>
  <c r="C22" i="1"/>
  <c r="K4" i="2"/>
  <c r="C2" i="1"/>
  <c r="C23" i="1"/>
  <c r="C10" i="1"/>
  <c r="K5" i="2"/>
  <c r="C11" i="1" l="1"/>
  <c r="C24" i="1"/>
  <c r="C19" i="1"/>
  <c r="B1" i="2"/>
  <c r="O3" i="2" s="1"/>
  <c r="O6" i="2"/>
  <c r="O5" i="2"/>
  <c r="O4" i="2"/>
  <c r="O7" i="2"/>
  <c r="C20" i="1"/>
  <c r="N3" i="2"/>
  <c r="C25" i="1"/>
  <c r="N7" i="2"/>
  <c r="N5" i="2"/>
  <c r="N4" i="2"/>
  <c r="N6" i="2"/>
  <c r="P3" i="2"/>
  <c r="E25" i="1" a="1"/>
  <c r="P7" i="2"/>
  <c r="P5" i="2"/>
  <c r="P4" i="2"/>
  <c r="P6" i="2"/>
  <c r="E25" i="1" l="1"/>
  <c r="E26" i="1"/>
  <c r="E27" i="1"/>
  <c r="E28" i="1"/>
  <c r="E29" i="1"/>
  <c r="E30" i="1"/>
  <c r="C26" i="1"/>
  <c r="C27" i="1" s="1"/>
  <c r="C28" i="1" s="1"/>
  <c r="C31" i="1"/>
  <c r="C29" i="1" l="1"/>
  <c r="C32" i="1"/>
  <c r="C30" i="1" l="1"/>
  <c r="C33" i="1"/>
  <c r="B4" i="2"/>
  <c r="Q3" i="2"/>
  <c r="Q4" i="2"/>
  <c r="Q6" i="2"/>
  <c r="Q7" i="2"/>
  <c r="Q5" i="2"/>
  <c r="R3" i="2"/>
  <c r="S3" i="2"/>
  <c r="R7" i="2"/>
  <c r="S7" i="2"/>
  <c r="R5" i="2"/>
  <c r="S5" i="2"/>
  <c r="R4" i="2"/>
  <c r="S4" i="2"/>
  <c r="R6" i="2"/>
  <c r="S6" i="2"/>
</calcChain>
</file>

<file path=xl/sharedStrings.xml><?xml version="1.0" encoding="utf-8"?>
<sst xmlns="http://schemas.openxmlformats.org/spreadsheetml/2006/main" count="60" uniqueCount="59">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</sst>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4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  <col min="5" max="5" width="11.7109375" bestFit="1" customWidth="1"/>
  </cols>
  <sheetData>
    <row r="2" spans="2:3" x14ac:dyDescent="0.25">
      <c r="B2" t="s">
        <v>39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flatRate#0000</v>
      </c>
    </row>
    <row r="10" spans="2:3" x14ac:dyDescent="0.25">
      <c r="C10" t="str">
        <f>_xll.qlFlatForward(,,,,C6,C8,"Actual/365 (Fixed)")</f>
        <v>obj_00008#0000</v>
      </c>
    </row>
    <row r="11" spans="2:3" x14ac:dyDescent="0.25">
      <c r="B11" t="s">
        <v>6</v>
      </c>
      <c r="C11" t="str">
        <f>_xll.qlRelinkableHandleYieldTermStructure(,B11,,,C10)</f>
        <v>rhTermStructure#0000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5" x14ac:dyDescent="0.25">
      <c r="B17" t="s">
        <v>15</v>
      </c>
      <c r="C17" t="s">
        <v>16</v>
      </c>
    </row>
    <row r="18" spans="2:5" x14ac:dyDescent="0.25">
      <c r="B18" t="s">
        <v>17</v>
      </c>
      <c r="C18" s="2">
        <v>0.03</v>
      </c>
    </row>
    <row r="19" spans="2:5" x14ac:dyDescent="0.25">
      <c r="B19" t="s">
        <v>18</v>
      </c>
      <c r="C19" t="str">
        <f>_xll.qlEuribor(,B19,,,"6M",C11)</f>
        <v>indexSixMonths#0000</v>
      </c>
    </row>
    <row r="20" spans="2:5" x14ac:dyDescent="0.25">
      <c r="B20" t="s">
        <v>25</v>
      </c>
      <c r="C20" t="str">
        <f>_xll.qlInterestRateIndexDayCounter(,C19)</f>
        <v>Actual/360</v>
      </c>
    </row>
    <row r="21" spans="2:5" x14ac:dyDescent="0.25">
      <c r="B21" t="s">
        <v>19</v>
      </c>
      <c r="C21" s="1">
        <f>_xll.qlCalendarAdvance(C7,C5,C6,"1Y",C14)</f>
        <v>37671</v>
      </c>
    </row>
    <row r="22" spans="2:5" x14ac:dyDescent="0.25">
      <c r="B22" t="s">
        <v>21</v>
      </c>
      <c r="C22" s="1">
        <f>_xll.qlCalendarAdvance(,C5,C21,"5Y",C14)</f>
        <v>39497</v>
      </c>
      <c r="E22" t="s">
        <v>56</v>
      </c>
    </row>
    <row r="23" spans="2:5" x14ac:dyDescent="0.25">
      <c r="B23" t="s">
        <v>22</v>
      </c>
      <c r="C23" t="str">
        <f>_xll.qlSchedule(,B23,,,C21,C22,"1Y",C5,C13,C13,"Forward")</f>
        <v>fixedSchedule#0000</v>
      </c>
      <c r="E23" t="s">
        <v>57</v>
      </c>
    </row>
    <row r="24" spans="2:5" x14ac:dyDescent="0.25">
      <c r="B24" t="s">
        <v>23</v>
      </c>
      <c r="C24" t="str">
        <f>_xll.qlSchedule(,B24,,,C21,C22,"6M",C5,C14,C14,"Forward")</f>
        <v>floatSchedule#0000</v>
      </c>
      <c r="E24" t="s">
        <v>58</v>
      </c>
    </row>
    <row r="25" spans="2:5" x14ac:dyDescent="0.25">
      <c r="B25" t="s">
        <v>24</v>
      </c>
      <c r="C25" t="str">
        <f>_xll.qlVanillaSwap(,B25,,,C17,1000,C23,C18,C15,C24,C19,0,C20)</f>
        <v>swap#0000</v>
      </c>
      <c r="E25" s="1">
        <f t="array" ref="E25:E30">_xll.qlTemp1(,C25)</f>
        <v>37671</v>
      </c>
    </row>
    <row r="26" spans="2:5" x14ac:dyDescent="0.25">
      <c r="B26" t="s">
        <v>27</v>
      </c>
      <c r="C26" t="str">
        <f>_xll.qlDiscountingSwapEngine(C25,,,,C11)</f>
        <v>obj_00019#0000</v>
      </c>
      <c r="E26" s="1">
        <v>38036</v>
      </c>
    </row>
    <row r="27" spans="2:5" x14ac:dyDescent="0.25">
      <c r="B27" t="s">
        <v>28</v>
      </c>
      <c r="C27" t="b">
        <f>_xll.qlInstrumentSetPricingEngine(,C25,C26)</f>
        <v>1</v>
      </c>
      <c r="E27" s="1">
        <v>38402</v>
      </c>
    </row>
    <row r="28" spans="2:5" x14ac:dyDescent="0.25">
      <c r="B28" t="s">
        <v>29</v>
      </c>
      <c r="C28">
        <f>_xll.qlVanillaSwapFairRate(C27,C25)</f>
        <v>5.0000005910246725E-2</v>
      </c>
      <c r="E28" s="1">
        <v>38767</v>
      </c>
    </row>
    <row r="29" spans="2:5" x14ac:dyDescent="0.25">
      <c r="B29" t="s">
        <v>30</v>
      </c>
      <c r="C29">
        <f>C28*1.2</f>
        <v>6.0000007092296068E-2</v>
      </c>
      <c r="E29" s="1">
        <v>39132</v>
      </c>
    </row>
    <row r="30" spans="2:5" x14ac:dyDescent="0.25">
      <c r="B30" t="s">
        <v>31</v>
      </c>
      <c r="C30">
        <f>C29*0.8</f>
        <v>4.800000567383686E-2</v>
      </c>
      <c r="E30" s="1" t="e">
        <v>#N/A</v>
      </c>
    </row>
    <row r="31" spans="2:5" x14ac:dyDescent="0.25">
      <c r="B31" t="s">
        <v>32</v>
      </c>
      <c r="C31" t="str">
        <f>_xll.qlVanillaSwap(,B31,,,C17,1000,C23,C28,C15,C24,C19,0,C20)</f>
        <v>atmSwap#0000</v>
      </c>
    </row>
    <row r="32" spans="2:5" x14ac:dyDescent="0.25">
      <c r="B32" t="s">
        <v>33</v>
      </c>
      <c r="C32" t="str">
        <f>_xll.qlVanillaSwap(,B32,,,C17,1000,C23,C29,C15,C24,C19,0,C20)</f>
        <v>otmSwap#0000</v>
      </c>
    </row>
    <row r="33" spans="2:3" x14ac:dyDescent="0.25">
      <c r="B33" t="s">
        <v>34</v>
      </c>
      <c r="C33" t="str">
        <f>_xll.qlVanillaSwap(,B33,,,C17,1000,C23,C30,C15,C24,C19,0,C20)</f>
        <v>itmSwap#0000</v>
      </c>
    </row>
    <row r="34" spans="2:3" x14ac:dyDescent="0.25">
      <c r="B34" t="s">
        <v>55</v>
      </c>
      <c r="C34" t="str">
        <f>_xll.qlBermudanExercise(,B34,,,E25:E29)</f>
        <v>bermudanExercise#0000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str">
        <f>_xll.qlHullWhite(,A1,,,NPV!C11)</f>
        <v>modelHW#0000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str">
        <f>_xll.qlLevenbergMarquardt(,A2)</f>
        <v>om#0000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str">
        <f>_xll.qlEndCriteria(,,,,400,100,0.00000001,0.00000001,0.00000001)</f>
        <v>obj_00000#0000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str">
        <f>_xll.qlSimpleQuote(,,,,J3)</f>
        <v>obj_00005#0000</v>
      </c>
      <c r="L3" t="str">
        <f t="shared" ref="L3:M7" si="0">(G3+1)&amp;"Y"</f>
        <v>1Y</v>
      </c>
      <c r="M3" t="str">
        <f t="shared" si="0"/>
        <v>5Y</v>
      </c>
      <c r="N3" t="str">
        <f>_xll.qlSwaptionHelper(,,,,L3,M3,K3,NPV!$C$19,"6M",NPV!$C$20,NPV!$C$20,NPV!$C$11)</f>
        <v>obj_00013#0000</v>
      </c>
      <c r="O3" t="str">
        <f>_xll.qlJamshidianSwaptionEngine(,,,,Calibration!$B$1)</f>
        <v>obj_0000e#0000</v>
      </c>
      <c r="P3" t="b">
        <f>_xll.qlCalibrationHelperSetPricingEngine(,N3,O3)</f>
        <v>1</v>
      </c>
      <c r="Q3" s="3">
        <f>_xll.qlSwaptionHelperModelValue($B$4,N3)</f>
        <v>8.7752781435232411E-3</v>
      </c>
      <c r="R3" s="7">
        <f>_xll.qlCalibrationHelperImpliedVolatility(,N3,Q3,0.0001,1000,0.05,0.5)</f>
        <v>0.10620374428854086</v>
      </c>
      <c r="S3" s="8">
        <f>R3-J3</f>
        <v>-8.5962557114591387E-3</v>
      </c>
    </row>
    <row r="4" spans="1:19" x14ac:dyDescent="0.25">
      <c r="A4" t="s">
        <v>45</v>
      </c>
      <c r="B4" t="b">
        <f>_xll.qlCalibratedModelCalibrate(_xll.ohTrigger(P3:P7),B1,N3:N7,B2,B3)</f>
        <v>1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str">
        <f>_xll.qlSimpleQuote(,,,,J4)</f>
        <v>obj_00006#0000</v>
      </c>
      <c r="L4" t="str">
        <f t="shared" si="0"/>
        <v>2Y</v>
      </c>
      <c r="M4" t="str">
        <f t="shared" si="0"/>
        <v>4Y</v>
      </c>
      <c r="N4" t="str">
        <f>_xll.qlSwaptionHelper(,,,,L4,M4,K4,NPV!$C$19,"6M",NPV!$C$20,NPV!$C$20,NPV!$C$11)</f>
        <v>obj_00017#0000</v>
      </c>
      <c r="O4" t="str">
        <f>_xll.qlJamshidianSwaptionEngine(,,,,Calibration!$B$1)</f>
        <v>obj_00011#0000</v>
      </c>
      <c r="P4" t="b">
        <f>_xll.qlCalibrationHelperSetPricingEngine(,N4,O4)</f>
        <v>1</v>
      </c>
      <c r="Q4" s="3">
        <f>_xll.qlSwaptionHelperModelValue($B$4,N4)</f>
        <v>9.668601432947576E-3</v>
      </c>
      <c r="R4" s="7">
        <f>_xll.qlCalibrationHelperImpliedVolatility(,N4,Q4,0.0001,1000,0.05,0.5)</f>
        <v>0.10629589465730509</v>
      </c>
      <c r="S4" s="8">
        <f t="shared" ref="S4:S7" si="4">R4-J4</f>
        <v>-4.5041053426949085E-3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str">
        <f>_xll.qlSimpleQuote(,,,,J5)</f>
        <v>obj_00009#0000</v>
      </c>
      <c r="L5" t="str">
        <f t="shared" si="0"/>
        <v>3Y</v>
      </c>
      <c r="M5" t="str">
        <f t="shared" si="0"/>
        <v>3Y</v>
      </c>
      <c r="N5" t="str">
        <f>_xll.qlSwaptionHelper(,,,,L5,M5,K5,NPV!$C$19,"6M",NPV!$C$20,NPV!$C$20,NPV!$C$11)</f>
        <v>obj_00016#0000</v>
      </c>
      <c r="O5" t="str">
        <f>_xll.qlJamshidianSwaptionEngine(,,,,Calibration!$B$1)</f>
        <v>obj_00010#0000</v>
      </c>
      <c r="P5" t="b">
        <f>_xll.qlCalibrationHelperSetPricingEngine(,N5,O5)</f>
        <v>1</v>
      </c>
      <c r="Q5" s="3">
        <f>_xll.qlSwaptionHelperModelValue($B$4,N5)</f>
        <v>8.6625803374763884E-3</v>
      </c>
      <c r="R5" s="7">
        <f>_xll.qlCalibrationHelperImpliedVolatility(,N5,Q5,0.0001,1000,0.05,0.5)</f>
        <v>0.10634143047275782</v>
      </c>
      <c r="S5" s="8">
        <f t="shared" si="4"/>
        <v>-6.5856952724217821E-4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str">
        <f>_xll.qlSimpleQuote(,,,,J6)</f>
        <v>obj_00002#0000</v>
      </c>
      <c r="L6" t="str">
        <f t="shared" si="0"/>
        <v>4Y</v>
      </c>
      <c r="M6" t="str">
        <f t="shared" si="0"/>
        <v>2Y</v>
      </c>
      <c r="N6" t="str">
        <f>_xll.qlSwaptionHelper(,,,,L6,M6,K6,NPV!$C$19,"6M",NPV!$C$20,NPV!$C$20,NPV!$C$11)</f>
        <v>obj_00018#0000</v>
      </c>
      <c r="O6" t="str">
        <f>_xll.qlJamshidianSwaptionEngine(,,,,Calibration!$B$1)</f>
        <v>obj_0000f#0000</v>
      </c>
      <c r="P6" t="b">
        <f>_xll.qlCalibrationHelperSetPricingEngine(,N6,O6)</f>
        <v>1</v>
      </c>
      <c r="Q6" s="3">
        <f>_xll.qlSwaptionHelperModelValue($B$4,N6)</f>
        <v>6.4902984985052625E-3</v>
      </c>
      <c r="R6" s="7">
        <f>_xll.qlCalibrationHelperImpliedVolatility(,N6,Q6,0.0001,1000,0.05,0.5)</f>
        <v>0.10644277028394263</v>
      </c>
      <c r="S6" s="8">
        <f t="shared" si="4"/>
        <v>4.3427702839426291E-3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str">
        <f>_xll.qlSimpleQuote(,,,,J7)</f>
        <v>obj_00003#0000</v>
      </c>
      <c r="L7" t="str">
        <f t="shared" si="0"/>
        <v>5Y</v>
      </c>
      <c r="M7" t="str">
        <f t="shared" si="0"/>
        <v>1Y</v>
      </c>
      <c r="N7" t="str">
        <f>_xll.qlSwaptionHelper(,,,,L7,M7,K7,NPV!$C$19,"6M",NPV!$C$20,NPV!$C$20,NPV!$C$11)</f>
        <v>obj_00015#0000</v>
      </c>
      <c r="O7" t="str">
        <f>_xll.qlJamshidianSwaptionEngine(,,,,Calibration!$B$1)</f>
        <v>obj_00012#0000</v>
      </c>
      <c r="P7" t="b">
        <f>_xll.qlCalibrationHelperSetPricingEngine(,N7,O7)</f>
        <v>1</v>
      </c>
      <c r="Q7" s="3">
        <f>_xll.qlSwaptionHelperModelValue($B$4,N7)</f>
        <v>3.5417771185528952E-3</v>
      </c>
      <c r="R7" s="7">
        <f>_xll.qlCalibrationHelperImpliedVolatility(,N7,Q7,0.0001,1000,0.05,0.5)</f>
        <v>0.10661315770948446</v>
      </c>
      <c r="S7" s="8">
        <f t="shared" si="4"/>
        <v>6.6131577094844518E-3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2015-09-16T09:58:02Z</dcterms:modified>
</cp:coreProperties>
</file>